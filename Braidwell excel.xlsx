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analysis\"/>
    </mc:Choice>
  </mc:AlternateContent>
  <xr:revisionPtr revIDLastSave="0" documentId="13_ncr:1_{82F44FFE-A2BE-4C5C-B8E5-DA1FA2AF370E}" xr6:coauthVersionLast="47" xr6:coauthVersionMax="47" xr10:uidLastSave="{00000000-0000-0000-0000-000000000000}"/>
  <bookViews>
    <workbookView xWindow="0" yWindow="0" windowWidth="20490" windowHeight="11520" firstSheet="1" activeTab="3" xr2:uid="{00000000-000D-0000-FFFF-FFFF00000000}"/>
  </bookViews>
  <sheets>
    <sheet name="WA_Fn-UseC_-HR-Employee-Attriti" sheetId="1" r:id="rId1"/>
    <sheet name="Clean data " sheetId="3" r:id="rId2"/>
    <sheet name="Sheet2" sheetId="7" r:id="rId3"/>
    <sheet name="Dashboard" sheetId="8" r:id="rId4"/>
  </sheets>
  <definedNames>
    <definedName name="ExternalData_1" localSheetId="1" hidden="1">'Clean data '!$A$1:$AJ$1471</definedName>
  </definedNames>
  <calcPr calcId="191029"/>
  <pivotCaches>
    <pivotCache cacheId="2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7" l="1"/>
  <c r="Z8" i="7"/>
  <c r="Z7" i="7"/>
  <c r="Z6" i="7"/>
  <c r="Z4" i="7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Z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<sst xmlns="http://schemas.openxmlformats.org/spreadsheetml/2006/main" count="26587" uniqueCount="83">
  <si>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</si>
  <si>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</si>
  <si>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</si>
  <si>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</si>
  <si>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</si>
  <si>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</si>
  <si>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</si>
  <si>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</si>
  <si>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</si>
  <si>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</si>
  <si>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</si>
  <si>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</si>
  <si>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</si>
  <si>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</si>
  <si>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</si>
  <si>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</si>
  <si>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</si>
  <si>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</si>
  <si>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</si>
  <si>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</si>
  <si>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</si>
  <si>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</si>
  <si>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</si>
  <si>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</si>
  <si>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</si>
  <si>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</si>
  <si>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</si>
  <si>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</si>
  <si>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</si>
  <si>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</si>
  <si>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</si>
  <si>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</si>
  <si>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</si>
  <si>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</si>
  <si>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</si>
  <si>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</si>
  <si>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</si>
  <si>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</si>
  <si>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</si>
  <si>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</si>
  <si>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</si>
  <si>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</si>
  <si>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</si>
  <si>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</si>
  <si>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</si>
  <si>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</si>
  <si>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</si>
  <si>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</si>
  <si>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</si>
  <si>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</si>
  <si>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</si>
  <si>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</si>
  <si>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</si>
  <si>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</si>
  <si>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</si>
  <si>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</si>
  <si>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</si>
  <si>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</si>
  <si>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</si>
  <si>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</si>
  <si>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</si>
  <si>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</si>
  <si>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</si>
  <si>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</si>
  <si>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</si>
  <si>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Sum of EmployeeCount</t>
  </si>
  <si>
    <t>Gender Distribution by Department</t>
  </si>
  <si>
    <t>Average of MonthlyIncome</t>
  </si>
  <si>
    <t>Gender Pay Gap</t>
  </si>
  <si>
    <t>FLOOR Monthly Income</t>
  </si>
  <si>
    <t>Count of EmployeeNumber</t>
  </si>
  <si>
    <t>Salary Band Distribution</t>
  </si>
  <si>
    <t>Top Performers Pay</t>
  </si>
  <si>
    <t>(All)</t>
  </si>
  <si>
    <t>Promotion by Gender and Department</t>
  </si>
  <si>
    <t>Attrition Analysis</t>
  </si>
  <si>
    <t>KPI's</t>
  </si>
  <si>
    <t>Attrition Rate</t>
  </si>
  <si>
    <t>Total Attrition count</t>
  </si>
  <si>
    <t xml:space="preserve">Gender Pay Gap </t>
  </si>
  <si>
    <t>Percentage below minimum salary</t>
  </si>
  <si>
    <t xml:space="preserve">Average Monthly Income  </t>
  </si>
  <si>
    <t xml:space="preserve">Average Job Satisfaction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</si>
</sst>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7" fillId="29" borderId="0" xfId="38"/>
    <xf numFmtId="0" fontId="17" fillId="29" borderId="0" xfId="38" applyAlignment="1"/>
    <xf numFmtId="0" fontId="0" fillId="33" borderId="0" xfId="0" applyFill="1"/>
    <xf numFmtId="0" fontId="0" fillId="0" borderId="0" xfId="0" applyAlignment="1">
      <alignment horizontal="center"/>
    </xf>
    <xf numFmtId="0" fontId="6" fillId="2" borderId="0" xfId="6" applyAlignment="1">
      <alignment horizontal="center"/>
    </xf>
    <xf numFmtId="0" fontId="17" fillId="9" borderId="0" xfId="18" applyAlignment="1">
      <alignment horizontal="center"/>
    </xf>
    <xf numFmtId="0" fontId="17" fillId="13" borderId="0" xfId="22" applyAlignment="1">
      <alignment horizontal="center"/>
    </xf>
    <xf numFmtId="0" fontId="17" fillId="17" borderId="0" xfId="26" applyAlignment="1">
      <alignment horizontal="center"/>
    </xf>
    <xf numFmtId="0" fontId="17" fillId="21" borderId="0" xfId="30" applyAlignment="1">
      <alignment horizontal="center"/>
    </xf>
    <xf numFmtId="0" fontId="17" fillId="25" borderId="0" xfId="34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project.xlsx]Sheet2!PivotTable7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Sheet2!$U$4:$U$5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Sheet2!$T$6:$T$9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Sheet2!$U$6:$U$9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9-4920-9CAD-91A98B697A71}"/>
            </c:ext>
          </c:extLst>
        </c:ser>
        <c:ser>
          <c:idx val="1"/>
          <c:order val="1"/>
          <c:tx>
            <c:strRef>
              <c:f>Sheet2!$V$4:$V$5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Sheet2!$T$6:$T$9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Sheet2!$V$6:$V$9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9-4920-9CAD-91A98B69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814447"/>
        <c:axId val="230816111"/>
      </c:barChart>
      <c:catAx>
        <c:axId val="23081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16111"/>
        <c:crosses val="autoZero"/>
        <c:auto val="1"/>
        <c:lblAlgn val="ctr"/>
        <c:lblOffset val="100"/>
        <c:noMultiLvlLbl val="0"/>
      </c:catAx>
      <c:valAx>
        <c:axId val="23081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1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final project.xlsx]Sheet2!PivotTable1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800" b="1">
                <a:solidFill>
                  <a:schemeClr val="tx1"/>
                </a:solidFill>
              </a:rPr>
              <a:t>Gender Distribution by Department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20</c:v>
                </c:pt>
                <c:pt idx="1">
                  <c:v>379</c:v>
                </c:pt>
                <c:pt idx="2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D-4997-B0FC-29519B6D5394}"/>
            </c:ext>
          </c:extLst>
        </c:ser>
        <c:ser>
          <c:idx val="1"/>
          <c:order val="1"/>
          <c:tx>
            <c:strRef>
              <c:f>Sheet2!$C$2:$C$3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43</c:v>
                </c:pt>
                <c:pt idx="1">
                  <c:v>582</c:v>
                </c:pt>
                <c:pt idx="2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D-4997-B0FC-29519B6D5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268735"/>
        <c:axId val="300269567"/>
      </c:barChart>
      <c:catAx>
        <c:axId val="30026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269567"/>
        <c:crosses val="autoZero"/>
        <c:auto val="1"/>
        <c:lblAlgn val="ctr"/>
        <c:lblOffset val="100"/>
        <c:noMultiLvlLbl val="0"/>
      </c:catAx>
      <c:valAx>
        <c:axId val="30026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26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final project.xlsx]Sheet2!PivotTable3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NG"/>
              <a:t>Salary</a:t>
            </a:r>
            <a:r>
              <a:rPr lang="en-NG" baseline="0"/>
              <a:t> band by Distribution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630370657219758"/>
          <c:y val="0.17585218944928105"/>
          <c:w val="0.66114129483814532"/>
          <c:h val="0.708019466316710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Sheet2!$I$3:$I$22</c:f>
              <c:strCache>
                <c:ptCount val="1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</c:strCache>
            </c:strRef>
          </c:cat>
          <c:val>
            <c:numRef>
              <c:f>Sheet2!$J$3:$J$22</c:f>
              <c:numCache>
                <c:formatCode>General</c:formatCode>
                <c:ptCount val="19"/>
                <c:pt idx="0">
                  <c:v>33</c:v>
                </c:pt>
                <c:pt idx="1">
                  <c:v>362</c:v>
                </c:pt>
                <c:pt idx="2">
                  <c:v>147</c:v>
                </c:pt>
                <c:pt idx="3">
                  <c:v>207</c:v>
                </c:pt>
                <c:pt idx="4">
                  <c:v>165</c:v>
                </c:pt>
                <c:pt idx="5">
                  <c:v>121</c:v>
                </c:pt>
                <c:pt idx="6">
                  <c:v>54</c:v>
                </c:pt>
                <c:pt idx="7">
                  <c:v>48</c:v>
                </c:pt>
                <c:pt idx="8">
                  <c:v>52</c:v>
                </c:pt>
                <c:pt idx="9">
                  <c:v>66</c:v>
                </c:pt>
                <c:pt idx="10">
                  <c:v>20</c:v>
                </c:pt>
                <c:pt idx="11">
                  <c:v>10</c:v>
                </c:pt>
                <c:pt idx="12">
                  <c:v>43</c:v>
                </c:pt>
                <c:pt idx="13">
                  <c:v>9</c:v>
                </c:pt>
                <c:pt idx="14">
                  <c:v>7</c:v>
                </c:pt>
                <c:pt idx="15">
                  <c:v>29</c:v>
                </c:pt>
                <c:pt idx="16">
                  <c:v>28</c:v>
                </c:pt>
                <c:pt idx="17">
                  <c:v>19</c:v>
                </c:pt>
                <c:pt idx="1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D-4024-8870-9B5523C6E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6994863"/>
        <c:axId val="286989455"/>
      </c:barChart>
      <c:catAx>
        <c:axId val="28699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89455"/>
        <c:crosses val="autoZero"/>
        <c:auto val="1"/>
        <c:lblAlgn val="ctr"/>
        <c:lblOffset val="100"/>
        <c:noMultiLvlLbl val="0"/>
      </c:catAx>
      <c:valAx>
        <c:axId val="28698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9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500" b="1" i="0" u="none" strike="noStrike" kern="1200" spc="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final project.xlsx]Sheet2!PivotTable4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NG"/>
              <a:t>Top</a:t>
            </a:r>
            <a:r>
              <a:rPr lang="en-NG" baseline="0"/>
              <a:t> Performers Pay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Sheet2!$L$3:$L$5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Sheet2!$M$3:$M$5</c:f>
              <c:numCache>
                <c:formatCode>0.00</c:formatCode>
                <c:ptCount val="2"/>
                <c:pt idx="0">
                  <c:v>6537.2741157556275</c:v>
                </c:pt>
                <c:pt idx="1">
                  <c:v>6313.8938053097345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4-4B12-A067-AAF4F4849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8130367"/>
        <c:axId val="288131615"/>
      </c:barChart>
      <c:catAx>
        <c:axId val="288130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131615"/>
        <c:crosses val="autoZero"/>
        <c:auto val="1"/>
        <c:lblAlgn val="ctr"/>
        <c:lblOffset val="100"/>
        <c:noMultiLvlLbl val="0"/>
      </c:catAx>
      <c:valAx>
        <c:axId val="28813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13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500" b="1" i="0" u="none" strike="noStrike" kern="1200" spc="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final project.xlsx]Sheet2!PivotTable2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NG"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Gender Pay Gap</a:t>
            </a:r>
            <a:endParaRPr lang="en-US" sz="1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Sheet2!$F$3:$F$5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Sheet2!$G$3:$G$5</c:f>
              <c:numCache>
                <c:formatCode>0.00</c:formatCode>
                <c:ptCount val="2"/>
                <c:pt idx="0">
                  <c:v>6686.5663265306121</c:v>
                </c:pt>
                <c:pt idx="1">
                  <c:v>6380.5079365079364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C-49B3-A01B-A994C80F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819855"/>
        <c:axId val="230813199"/>
      </c:barChart>
      <c:catAx>
        <c:axId val="23081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13199"/>
        <c:crosses val="autoZero"/>
        <c:auto val="1"/>
        <c:lblAlgn val="ctr"/>
        <c:lblOffset val="100"/>
        <c:noMultiLvlLbl val="0"/>
      </c:catAx>
      <c:valAx>
        <c:axId val="23081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1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500" b="1" i="0" u="none" strike="noStrike" kern="1200" spc="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final project.xlsx]Sheet2!PivotTable5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</a:t>
            </a:r>
            <a:r>
              <a:rPr lang="en-NG" sz="1800"/>
              <a:t>romotion by gender and Department 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8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8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Sheet2!$P$3:$P$4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Sheet2!$O$5:$O$8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Sheet2!$P$5:$P$8</c:f>
              <c:numCache>
                <c:formatCode>General</c:formatCode>
                <c:ptCount val="3"/>
                <c:pt idx="0">
                  <c:v>20</c:v>
                </c:pt>
                <c:pt idx="1">
                  <c:v>379</c:v>
                </c:pt>
                <c:pt idx="2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B-467D-A9AF-8DE778B932EB}"/>
            </c:ext>
          </c:extLst>
        </c:ser>
        <c:ser>
          <c:idx val="1"/>
          <c:order val="1"/>
          <c:tx>
            <c:strRef>
              <c:f>Sheet2!$Q$3:$Q$4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Sheet2!$O$5:$O$8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Sheet2!$Q$5:$Q$8</c:f>
              <c:numCache>
                <c:formatCode>General</c:formatCode>
                <c:ptCount val="3"/>
                <c:pt idx="0">
                  <c:v>43</c:v>
                </c:pt>
                <c:pt idx="1">
                  <c:v>582</c:v>
                </c:pt>
                <c:pt idx="2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B-467D-A9AF-8DE778B93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19535"/>
        <c:axId val="145521199"/>
      </c:barChart>
      <c:catAx>
        <c:axId val="14551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21199"/>
        <c:crosses val="autoZero"/>
        <c:auto val="1"/>
        <c:lblAlgn val="ctr"/>
        <c:lblOffset val="100"/>
        <c:noMultiLvlLbl val="0"/>
      </c:catAx>
      <c:valAx>
        <c:axId val="14552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800" b="1" i="0" u="none" strike="noStrike" kern="1200" spc="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final project.xlsx]Sheet2!PivotTable7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1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NG"/>
              <a:t>Attrition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1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8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8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Sheet2!$U$4:$U$5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Sheet2!$T$6:$T$9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Sheet2!$U$6:$U$9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D-43C4-9851-22CF73055A43}"/>
            </c:ext>
          </c:extLst>
        </c:ser>
        <c:ser>
          <c:idx val="1"/>
          <c:order val="1"/>
          <c:tx>
            <c:strRef>
              <c:f>Sheet2!$V$4:$V$5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Sheet2!$T$6:$T$9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Sheet2!$V$6:$V$9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2D-43C4-9851-22CF73055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347695"/>
        <c:axId val="987344367"/>
      </c:barChart>
      <c:catAx>
        <c:axId val="98734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4367"/>
        <c:crosses val="autoZero"/>
        <c:auto val="1"/>
        <c:lblAlgn val="ctr"/>
        <c:lblOffset val="100"/>
        <c:noMultiLvlLbl val="0"/>
      </c:catAx>
      <c:valAx>
        <c:axId val="98734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800" b="1" i="0" u="none" strike="noStrike" kern="1200" spc="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0</xdr:rowOff>
    </xdr:from>
    <xdr:to>
      <xdr:col>26</xdr:col>
      <xdr:colOff>9525</xdr:colOff>
      <xdr:row>3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E6D85D-9C05-432A-9E8B-B01444911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32100" y="381000"/>
          <a:ext cx="9239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16</xdr:row>
      <xdr:rowOff>0</xdr:rowOff>
    </xdr:from>
    <xdr:to>
      <xdr:col>25</xdr:col>
      <xdr:colOff>304800</xdr:colOff>
      <xdr:row>30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E9902F-68E5-46BC-8391-F3723E7AF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595312</xdr:colOff>
      <xdr:row>5</xdr:row>
      <xdr:rowOff>0</xdr:rowOff>
    </xdr:from>
    <xdr:to>
      <xdr:col>48</xdr:col>
      <xdr:colOff>404812</xdr:colOff>
      <xdr:row>67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64CB9617-E4B8-4963-B8F6-E15A0C9AE9EB}"/>
            </a:ext>
          </a:extLst>
        </xdr:cNvPr>
        <xdr:cNvGrpSpPr/>
      </xdr:nvGrpSpPr>
      <xdr:grpSpPr>
        <a:xfrm>
          <a:off x="8024812" y="952500"/>
          <a:ext cx="22098000" cy="11811000"/>
          <a:chOff x="6762750" y="0"/>
          <a:chExt cx="22098000" cy="11811000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00481B50-A5CB-44A4-8923-3F80EE02EEE2}"/>
              </a:ext>
            </a:extLst>
          </xdr:cNvPr>
          <xdr:cNvSpPr/>
        </xdr:nvSpPr>
        <xdr:spPr>
          <a:xfrm>
            <a:off x="6857998" y="0"/>
            <a:ext cx="21955125" cy="11811000"/>
          </a:xfrm>
          <a:prstGeom prst="roundRect">
            <a:avLst>
              <a:gd name="adj" fmla="val 4327"/>
            </a:avLst>
          </a:prstGeom>
          <a:solidFill>
            <a:schemeClr val="bg1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1598F54A-CC95-4972-B9B3-B6EDB5DFB59C}"/>
              </a:ext>
            </a:extLst>
          </xdr:cNvPr>
          <xdr:cNvGraphicFramePr>
            <a:graphicFrameLocks/>
          </xdr:cNvGraphicFramePr>
        </xdr:nvGraphicFramePr>
        <xdr:xfrm>
          <a:off x="7167562" y="2547938"/>
          <a:ext cx="7548562" cy="42386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26E860F-5969-4364-83B2-EDB737A4F76C}"/>
              </a:ext>
            </a:extLst>
          </xdr:cNvPr>
          <xdr:cNvGraphicFramePr>
            <a:graphicFrameLocks/>
          </xdr:cNvGraphicFramePr>
        </xdr:nvGraphicFramePr>
        <xdr:xfrm>
          <a:off x="7167561" y="6953249"/>
          <a:ext cx="8572501" cy="44053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E6059954-69A1-4C60-AD9A-A83B4C8C841A}"/>
              </a:ext>
            </a:extLst>
          </xdr:cNvPr>
          <xdr:cNvGraphicFramePr>
            <a:graphicFrameLocks/>
          </xdr:cNvGraphicFramePr>
        </xdr:nvGraphicFramePr>
        <xdr:xfrm>
          <a:off x="19311937" y="2547937"/>
          <a:ext cx="5500687" cy="42624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5E11AA17-F78E-4700-A71D-B2025153F843}"/>
              </a:ext>
            </a:extLst>
          </xdr:cNvPr>
          <xdr:cNvGraphicFramePr>
            <a:graphicFrameLocks/>
          </xdr:cNvGraphicFramePr>
        </xdr:nvGraphicFramePr>
        <xdr:xfrm>
          <a:off x="14859000" y="2547937"/>
          <a:ext cx="4333875" cy="42862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CCA659EC-ACAE-48E4-89CD-8FB17BCDFAE0}"/>
              </a:ext>
            </a:extLst>
          </xdr:cNvPr>
          <xdr:cNvSpPr/>
        </xdr:nvSpPr>
        <xdr:spPr>
          <a:xfrm>
            <a:off x="6762750" y="285750"/>
            <a:ext cx="22098000" cy="785813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151FCA57-678E-4000-B64A-CF39C7FD6839}"/>
              </a:ext>
            </a:extLst>
          </xdr:cNvPr>
          <xdr:cNvGraphicFramePr>
            <a:graphicFrameLocks/>
          </xdr:cNvGraphicFramePr>
        </xdr:nvGraphicFramePr>
        <xdr:xfrm>
          <a:off x="15859125" y="6977061"/>
          <a:ext cx="7786687" cy="44053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E814E443-D60A-4AA2-8B86-72351B9DA3E4}"/>
              </a:ext>
            </a:extLst>
          </xdr:cNvPr>
          <xdr:cNvSpPr txBox="1"/>
        </xdr:nvSpPr>
        <xdr:spPr>
          <a:xfrm>
            <a:off x="9191624" y="428625"/>
            <a:ext cx="15740063" cy="54768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NG" sz="2800" b="1">
                <a:solidFill>
                  <a:srgbClr val="00B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BRAIDWELL</a:t>
            </a:r>
            <a:r>
              <a:rPr lang="en-NG" sz="2800" b="1" baseline="0">
                <a:solidFill>
                  <a:srgbClr val="00B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CONSULTING HR METRICS ANALYSIS BY UFUOMA AVWORU</a:t>
            </a:r>
            <a:endParaRPr lang="en-US" sz="2800" b="1">
              <a:solidFill>
                <a:srgbClr val="00B05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853C7744-48DE-41ED-A238-8DB67AF5FE2E}"/>
              </a:ext>
            </a:extLst>
          </xdr:cNvPr>
          <xdr:cNvGraphicFramePr>
            <a:graphicFrameLocks/>
          </xdr:cNvGraphicFramePr>
        </xdr:nvGraphicFramePr>
        <xdr:xfrm>
          <a:off x="23860125" y="7024687"/>
          <a:ext cx="4714875" cy="4381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F841F906-421A-4DEB-8E37-81E923344E3F}"/>
              </a:ext>
            </a:extLst>
          </xdr:cNvPr>
          <xdr:cNvSpPr/>
        </xdr:nvSpPr>
        <xdr:spPr>
          <a:xfrm>
            <a:off x="24884062" y="2524124"/>
            <a:ext cx="3738563" cy="4381501"/>
          </a:xfrm>
          <a:prstGeom prst="roundRect">
            <a:avLst>
              <a:gd name="adj" fmla="val 5839"/>
            </a:avLst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CF74C80E-D487-4381-AB58-D68595206A80}"/>
              </a:ext>
            </a:extLst>
          </xdr:cNvPr>
          <xdr:cNvSpPr/>
        </xdr:nvSpPr>
        <xdr:spPr>
          <a:xfrm>
            <a:off x="7143748" y="1238250"/>
            <a:ext cx="3167064" cy="1185866"/>
          </a:xfrm>
          <a:prstGeom prst="roundRect">
            <a:avLst>
              <a:gd name="adj" fmla="val 6219"/>
            </a:avLst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NG" sz="3600">
                <a:solidFill>
                  <a:schemeClr val="bg1"/>
                </a:solidFill>
              </a:rPr>
              <a:t>16.12</a:t>
            </a:r>
          </a:p>
          <a:p>
            <a:pPr algn="ctr"/>
            <a:r>
              <a:rPr lang="en-US" sz="2000">
                <a:solidFill>
                  <a:schemeClr val="bg1"/>
                </a:solidFill>
              </a:rPr>
              <a:t>Attrition Rate</a:t>
            </a:r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50E52345-55D4-44EB-ACF4-942A3AB2FDEB}"/>
              </a:ext>
            </a:extLst>
          </xdr:cNvPr>
          <xdr:cNvSpPr/>
        </xdr:nvSpPr>
        <xdr:spPr>
          <a:xfrm>
            <a:off x="10453687" y="1238250"/>
            <a:ext cx="3024188" cy="1162053"/>
          </a:xfrm>
          <a:prstGeom prst="roundRect">
            <a:avLst>
              <a:gd name="adj" fmla="val 6219"/>
            </a:avLst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NG" sz="3600">
                <a:solidFill>
                  <a:schemeClr val="bg1"/>
                </a:solidFill>
              </a:rPr>
              <a:t>237</a:t>
            </a:r>
          </a:p>
          <a:p>
            <a:pPr algn="ctr"/>
            <a:r>
              <a:rPr lang="en-NG" sz="2000">
                <a:solidFill>
                  <a:schemeClr val="bg1"/>
                </a:solidFill>
              </a:rPr>
              <a:t>Total</a:t>
            </a:r>
            <a:r>
              <a:rPr lang="en-NG" sz="2000" baseline="0">
                <a:solidFill>
                  <a:schemeClr val="bg1"/>
                </a:solidFill>
              </a:rPr>
              <a:t> Attrition </a:t>
            </a:r>
            <a:endParaRPr lang="en-US" sz="2000">
              <a:solidFill>
                <a:schemeClr val="bg1"/>
              </a:solidFill>
            </a:endParaRPr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60567D36-180A-4FDA-849E-4E2DFA69D63A}"/>
              </a:ext>
            </a:extLst>
          </xdr:cNvPr>
          <xdr:cNvSpPr/>
        </xdr:nvSpPr>
        <xdr:spPr>
          <a:xfrm>
            <a:off x="13549313" y="1214438"/>
            <a:ext cx="3381376" cy="1185866"/>
          </a:xfrm>
          <a:prstGeom prst="roundRect">
            <a:avLst>
              <a:gd name="adj" fmla="val 6219"/>
            </a:avLst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NG" sz="4000">
                <a:solidFill>
                  <a:schemeClr val="bg1"/>
                </a:solidFill>
              </a:rPr>
              <a:t>306.06</a:t>
            </a:r>
          </a:p>
          <a:p>
            <a:pPr algn="ctr"/>
            <a:r>
              <a:rPr lang="en-NG" sz="2400">
                <a:solidFill>
                  <a:schemeClr val="bg1"/>
                </a:solidFill>
              </a:rPr>
              <a:t>Gender</a:t>
            </a:r>
            <a:r>
              <a:rPr lang="en-NG" sz="2400" baseline="0">
                <a:solidFill>
                  <a:schemeClr val="bg1"/>
                </a:solidFill>
              </a:rPr>
              <a:t> Pay Gap</a:t>
            </a:r>
            <a:endParaRPr lang="en-US" sz="2400">
              <a:solidFill>
                <a:schemeClr val="bg1"/>
              </a:solidFill>
            </a:endParaRPr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BC9E40D4-053D-4E1D-A87C-8F6C8E467033}"/>
              </a:ext>
            </a:extLst>
          </xdr:cNvPr>
          <xdr:cNvSpPr/>
        </xdr:nvSpPr>
        <xdr:spPr>
          <a:xfrm>
            <a:off x="17025938" y="1214438"/>
            <a:ext cx="3714750" cy="1190624"/>
          </a:xfrm>
          <a:prstGeom prst="roundRect">
            <a:avLst>
              <a:gd name="adj" fmla="val 6219"/>
            </a:avLst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NG" sz="3600">
                <a:solidFill>
                  <a:schemeClr val="bg1"/>
                </a:solidFill>
              </a:rPr>
              <a:t>77.35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Percentage below minimum salary</a:t>
            </a:r>
            <a:endParaRPr lang="en-US" sz="1600">
              <a:effectLst/>
            </a:endParaRPr>
          </a:p>
          <a:p>
            <a:pPr algn="ctr"/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15A7D977-1FC3-4A14-9D03-2DF5FA487C73}"/>
              </a:ext>
            </a:extLst>
          </xdr:cNvPr>
          <xdr:cNvSpPr/>
        </xdr:nvSpPr>
        <xdr:spPr>
          <a:xfrm>
            <a:off x="20812124" y="1238250"/>
            <a:ext cx="3738564" cy="1162052"/>
          </a:xfrm>
          <a:prstGeom prst="roundRect">
            <a:avLst>
              <a:gd name="adj" fmla="val 6219"/>
            </a:avLst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NG" sz="2600">
                <a:solidFill>
                  <a:schemeClr val="bg1"/>
                </a:solidFill>
              </a:rPr>
              <a:t>6502.93</a:t>
            </a:r>
          </a:p>
          <a:p>
            <a:pPr algn="ctr"/>
            <a:r>
              <a:rPr lang="en-NG" sz="2600">
                <a:solidFill>
                  <a:schemeClr val="bg1"/>
                </a:solidFill>
              </a:rPr>
              <a:t>Average</a:t>
            </a:r>
            <a:r>
              <a:rPr lang="en-NG" sz="2600" baseline="0">
                <a:solidFill>
                  <a:schemeClr val="bg1"/>
                </a:solidFill>
              </a:rPr>
              <a:t>  Monthly Income </a:t>
            </a:r>
            <a:endParaRPr lang="en-NG" sz="2600">
              <a:solidFill>
                <a:schemeClr val="bg1"/>
              </a:solidFill>
            </a:endParaRPr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59267805-9338-47F2-921D-4AE842B9218A}"/>
              </a:ext>
            </a:extLst>
          </xdr:cNvPr>
          <xdr:cNvSpPr/>
        </xdr:nvSpPr>
        <xdr:spPr>
          <a:xfrm>
            <a:off x="24598312" y="1238250"/>
            <a:ext cx="4048126" cy="1185865"/>
          </a:xfrm>
          <a:prstGeom prst="roundRect">
            <a:avLst>
              <a:gd name="adj" fmla="val 6219"/>
            </a:avLst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NG" sz="2800">
                <a:solidFill>
                  <a:schemeClr val="bg1"/>
                </a:solidFill>
              </a:rPr>
              <a:t>2.73</a:t>
            </a:r>
          </a:p>
          <a:p>
            <a:pPr algn="ctr"/>
            <a:r>
              <a:rPr lang="en-NG" sz="2800">
                <a:solidFill>
                  <a:schemeClr val="bg1"/>
                </a:solidFill>
              </a:rPr>
              <a:t>Average</a:t>
            </a:r>
            <a:r>
              <a:rPr lang="en-NG" sz="2800" baseline="0">
                <a:solidFill>
                  <a:schemeClr val="bg1"/>
                </a:solidFill>
              </a:rPr>
              <a:t>  Job SAtisfaction</a:t>
            </a:r>
            <a:endParaRPr lang="en-NG" sz="2800">
              <a:solidFill>
                <a:schemeClr val="bg1"/>
              </a:solidFill>
            </a:endParaRPr>
          </a:p>
        </xdr:txBody>
      </xdr:sp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348AAB49-DA67-4692-B56C-886DACC9A9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098376" y="2976562"/>
            <a:ext cx="3381374" cy="3381374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9.902492476853" createdVersion="6" refreshedVersion="7" minRefreshableVersion="3" recordCount="1470" xr:uid="{00000000-000A-0000-FFFF-FFFF0C000000}">
  <cacheSource type="worksheet">
    <worksheetSource name="Table1_2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FLOOR Monthly Income" numFmtId="0">
      <sharedItems containsSemiMixedTypes="0" containsString="0" containsNumber="1" containsInteger="1" minValue="1000" maxValue="19000" count="19">
        <n v="5000"/>
        <n v="2000"/>
        <n v="3000"/>
        <n v="9000"/>
        <n v="4000"/>
        <n v="15000"/>
        <n v="11000"/>
        <n v="1000"/>
        <n v="19000"/>
        <n v="6000"/>
        <n v="10000"/>
        <n v="18000"/>
        <n v="8000"/>
        <n v="13000"/>
        <n v="7000"/>
        <n v="14000"/>
        <n v="17000"/>
        <n v="16000"/>
        <n v="12000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x v="0"/>
    <n v="94"/>
    <n v="3"/>
    <n v="2"/>
    <s v="Sales Executive"/>
    <n v="4"/>
    <s v="Single"/>
    <x v="0"/>
    <n v="5993"/>
    <n v="19479"/>
    <n v="8"/>
    <s v="Yes"/>
    <s v="Yes"/>
    <n v="11"/>
    <x v="0"/>
    <n v="1"/>
    <n v="80"/>
    <n v="0"/>
    <n v="8"/>
    <n v="0"/>
    <n v="1"/>
    <n v="6"/>
    <n v="4"/>
    <x v="0"/>
    <n v="5"/>
  </r>
  <r>
    <n v="49"/>
    <x v="1"/>
    <s v="Travel_Frequently"/>
    <n v="279"/>
    <x v="1"/>
    <n v="8"/>
    <n v="1"/>
    <s v="Life Sciences"/>
    <n v="1"/>
    <n v="2"/>
    <n v="3"/>
    <x v="1"/>
    <n v="61"/>
    <n v="2"/>
    <n v="2"/>
    <s v="Research Scientist"/>
    <n v="2"/>
    <s v="Married"/>
    <x v="0"/>
    <n v="5130"/>
    <n v="24907"/>
    <n v="1"/>
    <s v="Yes"/>
    <s v="No"/>
    <n v="23"/>
    <x v="1"/>
    <n v="4"/>
    <n v="80"/>
    <n v="1"/>
    <n v="10"/>
    <n v="3"/>
    <n v="3"/>
    <n v="10"/>
    <n v="7"/>
    <x v="1"/>
    <n v="7"/>
  </r>
  <r>
    <n v="37"/>
    <x v="0"/>
    <s v="Travel_Rarely"/>
    <n v="1373"/>
    <x v="1"/>
    <n v="2"/>
    <n v="2"/>
    <s v="Other"/>
    <n v="1"/>
    <n v="4"/>
    <n v="4"/>
    <x v="1"/>
    <n v="92"/>
    <n v="2"/>
    <n v="1"/>
    <s v="Laboratory Technician"/>
    <n v="3"/>
    <s v="Single"/>
    <x v="1"/>
    <n v="2090"/>
    <n v="2396"/>
    <n v="6"/>
    <s v="Yes"/>
    <s v="Yes"/>
    <n v="15"/>
    <x v="0"/>
    <n v="2"/>
    <n v="80"/>
    <n v="0"/>
    <n v="7"/>
    <n v="3"/>
    <n v="3"/>
    <n v="0"/>
    <n v="0"/>
    <x v="0"/>
    <n v="0"/>
  </r>
  <r>
    <n v="33"/>
    <x v="1"/>
    <s v="Travel_Frequently"/>
    <n v="1392"/>
    <x v="1"/>
    <n v="3"/>
    <n v="4"/>
    <s v="Life Sciences"/>
    <n v="1"/>
    <n v="5"/>
    <n v="4"/>
    <x v="0"/>
    <n v="56"/>
    <n v="3"/>
    <n v="1"/>
    <s v="Research Scientist"/>
    <n v="3"/>
    <s v="Married"/>
    <x v="1"/>
    <n v="2909"/>
    <n v="23159"/>
    <n v="1"/>
    <s v="Yes"/>
    <s v="Yes"/>
    <n v="11"/>
    <x v="0"/>
    <n v="3"/>
    <n v="80"/>
    <n v="0"/>
    <n v="8"/>
    <n v="3"/>
    <n v="3"/>
    <n v="8"/>
    <n v="7"/>
    <x v="2"/>
    <n v="0"/>
  </r>
  <r>
    <n v="27"/>
    <x v="1"/>
    <s v="Travel_Rarely"/>
    <n v="591"/>
    <x v="1"/>
    <n v="2"/>
    <n v="1"/>
    <s v="Medical"/>
    <n v="1"/>
    <n v="7"/>
    <n v="1"/>
    <x v="1"/>
    <n v="40"/>
    <n v="3"/>
    <n v="1"/>
    <s v="Laboratory Technician"/>
    <n v="2"/>
    <s v="Married"/>
    <x v="2"/>
    <n v="3468"/>
    <n v="16632"/>
    <n v="9"/>
    <s v="Yes"/>
    <s v="No"/>
    <n v="12"/>
    <x v="0"/>
    <n v="4"/>
    <n v="80"/>
    <n v="1"/>
    <n v="6"/>
    <n v="3"/>
    <n v="3"/>
    <n v="2"/>
    <n v="2"/>
    <x v="3"/>
    <n v="2"/>
  </r>
  <r>
    <n v="32"/>
    <x v="1"/>
    <s v="Travel_Frequently"/>
    <n v="1005"/>
    <x v="1"/>
    <n v="2"/>
    <n v="2"/>
    <s v="Life Sciences"/>
    <n v="1"/>
    <n v="8"/>
    <n v="4"/>
    <x v="1"/>
    <n v="79"/>
    <n v="3"/>
    <n v="1"/>
    <s v="Laboratory Technician"/>
    <n v="4"/>
    <s v="Single"/>
    <x v="2"/>
    <n v="3068"/>
    <n v="11864"/>
    <n v="0"/>
    <s v="Yes"/>
    <s v="No"/>
    <n v="13"/>
    <x v="0"/>
    <n v="3"/>
    <n v="80"/>
    <n v="0"/>
    <n v="8"/>
    <n v="2"/>
    <n v="2"/>
    <n v="7"/>
    <n v="7"/>
    <x v="2"/>
    <n v="6"/>
  </r>
  <r>
    <n v="59"/>
    <x v="1"/>
    <s v="Travel_Rarely"/>
    <n v="1324"/>
    <x v="1"/>
    <n v="3"/>
    <n v="3"/>
    <s v="Medical"/>
    <n v="1"/>
    <n v="10"/>
    <n v="3"/>
    <x v="0"/>
    <n v="81"/>
    <n v="4"/>
    <n v="1"/>
    <s v="Laboratory Technician"/>
    <n v="1"/>
    <s v="Married"/>
    <x v="1"/>
    <n v="2670"/>
    <n v="9964"/>
    <n v="4"/>
    <s v="Yes"/>
    <s v="Yes"/>
    <n v="20"/>
    <x v="1"/>
    <n v="1"/>
    <n v="80"/>
    <n v="3"/>
    <n v="12"/>
    <n v="3"/>
    <n v="2"/>
    <n v="1"/>
    <n v="0"/>
    <x v="0"/>
    <n v="0"/>
  </r>
  <r>
    <n v="30"/>
    <x v="1"/>
    <s v="Travel_Rarely"/>
    <n v="1358"/>
    <x v="1"/>
    <n v="24"/>
    <n v="1"/>
    <s v="Life Sciences"/>
    <n v="1"/>
    <n v="11"/>
    <n v="4"/>
    <x v="1"/>
    <n v="67"/>
    <n v="3"/>
    <n v="1"/>
    <s v="Laboratory Technician"/>
    <n v="3"/>
    <s v="Divorced"/>
    <x v="1"/>
    <n v="2693"/>
    <n v="13335"/>
    <n v="1"/>
    <s v="Yes"/>
    <s v="No"/>
    <n v="22"/>
    <x v="1"/>
    <n v="2"/>
    <n v="80"/>
    <n v="1"/>
    <n v="1"/>
    <n v="2"/>
    <n v="3"/>
    <n v="1"/>
    <n v="0"/>
    <x v="0"/>
    <n v="0"/>
  </r>
  <r>
    <n v="38"/>
    <x v="1"/>
    <s v="Travel_Frequently"/>
    <n v="216"/>
    <x v="1"/>
    <n v="23"/>
    <n v="3"/>
    <s v="Life Sciences"/>
    <n v="1"/>
    <n v="12"/>
    <n v="4"/>
    <x v="1"/>
    <n v="44"/>
    <n v="2"/>
    <n v="3"/>
    <s v="Manufacturing Director"/>
    <n v="3"/>
    <s v="Single"/>
    <x v="3"/>
    <n v="9526"/>
    <n v="8787"/>
    <n v="0"/>
    <s v="Yes"/>
    <s v="No"/>
    <n v="21"/>
    <x v="1"/>
    <n v="2"/>
    <n v="80"/>
    <n v="0"/>
    <n v="10"/>
    <n v="2"/>
    <n v="3"/>
    <n v="9"/>
    <n v="7"/>
    <x v="1"/>
    <n v="8"/>
  </r>
  <r>
    <n v="36"/>
    <x v="1"/>
    <s v="Travel_Rarely"/>
    <n v="1299"/>
    <x v="1"/>
    <n v="27"/>
    <n v="3"/>
    <s v="Medical"/>
    <n v="1"/>
    <n v="13"/>
    <n v="3"/>
    <x v="1"/>
    <n v="94"/>
    <n v="3"/>
    <n v="2"/>
    <s v="Healthcare Representative"/>
    <n v="3"/>
    <s v="Married"/>
    <x v="0"/>
    <n v="5237"/>
    <n v="16577"/>
    <n v="6"/>
    <s v="Yes"/>
    <s v="No"/>
    <n v="13"/>
    <x v="0"/>
    <n v="2"/>
    <n v="80"/>
    <n v="2"/>
    <n v="17"/>
    <n v="3"/>
    <n v="2"/>
    <n v="7"/>
    <n v="7"/>
    <x v="4"/>
    <n v="7"/>
  </r>
  <r>
    <n v="35"/>
    <x v="1"/>
    <s v="Travel_Rarely"/>
    <n v="809"/>
    <x v="1"/>
    <n v="16"/>
    <n v="3"/>
    <s v="Medical"/>
    <n v="1"/>
    <n v="14"/>
    <n v="1"/>
    <x v="1"/>
    <n v="84"/>
    <n v="4"/>
    <n v="1"/>
    <s v="Laboratory Technician"/>
    <n v="2"/>
    <s v="Married"/>
    <x v="1"/>
    <n v="2426"/>
    <n v="16479"/>
    <n v="0"/>
    <s v="Yes"/>
    <s v="No"/>
    <n v="13"/>
    <x v="0"/>
    <n v="3"/>
    <n v="80"/>
    <n v="1"/>
    <n v="6"/>
    <n v="5"/>
    <n v="3"/>
    <n v="5"/>
    <n v="4"/>
    <x v="0"/>
    <n v="3"/>
  </r>
  <r>
    <n v="29"/>
    <x v="1"/>
    <s v="Travel_Rarely"/>
    <n v="153"/>
    <x v="1"/>
    <n v="15"/>
    <n v="2"/>
    <s v="Life Sciences"/>
    <n v="1"/>
    <n v="15"/>
    <n v="4"/>
    <x v="0"/>
    <n v="49"/>
    <n v="2"/>
    <n v="2"/>
    <s v="Laboratory Technician"/>
    <n v="3"/>
    <s v="Single"/>
    <x v="4"/>
    <n v="4193"/>
    <n v="12682"/>
    <n v="0"/>
    <s v="Yes"/>
    <s v="Yes"/>
    <n v="12"/>
    <x v="0"/>
    <n v="4"/>
    <n v="80"/>
    <n v="0"/>
    <n v="10"/>
    <n v="3"/>
    <n v="3"/>
    <n v="9"/>
    <n v="5"/>
    <x v="0"/>
    <n v="8"/>
  </r>
  <r>
    <n v="31"/>
    <x v="1"/>
    <s v="Travel_Rarely"/>
    <n v="670"/>
    <x v="1"/>
    <n v="26"/>
    <n v="1"/>
    <s v="Life Sciences"/>
    <n v="1"/>
    <n v="16"/>
    <n v="1"/>
    <x v="1"/>
    <n v="31"/>
    <n v="3"/>
    <n v="1"/>
    <s v="Research Scientist"/>
    <n v="3"/>
    <s v="Divorced"/>
    <x v="1"/>
    <n v="2911"/>
    <n v="15170"/>
    <n v="1"/>
    <s v="Yes"/>
    <s v="No"/>
    <n v="17"/>
    <x v="0"/>
    <n v="4"/>
    <n v="80"/>
    <n v="1"/>
    <n v="5"/>
    <n v="1"/>
    <n v="2"/>
    <n v="5"/>
    <n v="2"/>
    <x v="5"/>
    <n v="3"/>
  </r>
  <r>
    <n v="34"/>
    <x v="1"/>
    <s v="Travel_Rarely"/>
    <n v="1346"/>
    <x v="1"/>
    <n v="19"/>
    <n v="2"/>
    <s v="Medical"/>
    <n v="1"/>
    <n v="18"/>
    <n v="2"/>
    <x v="1"/>
    <n v="93"/>
    <n v="3"/>
    <n v="1"/>
    <s v="Laboratory Technician"/>
    <n v="4"/>
    <s v="Divorced"/>
    <x v="1"/>
    <n v="2661"/>
    <n v="8758"/>
    <n v="0"/>
    <s v="Yes"/>
    <s v="No"/>
    <n v="11"/>
    <x v="0"/>
    <n v="3"/>
    <n v="80"/>
    <n v="1"/>
    <n v="3"/>
    <n v="2"/>
    <n v="3"/>
    <n v="2"/>
    <n v="2"/>
    <x v="1"/>
    <n v="2"/>
  </r>
  <r>
    <n v="28"/>
    <x v="0"/>
    <s v="Travel_Rarely"/>
    <n v="103"/>
    <x v="1"/>
    <n v="24"/>
    <n v="3"/>
    <s v="Life Sciences"/>
    <n v="1"/>
    <n v="19"/>
    <n v="3"/>
    <x v="1"/>
    <n v="50"/>
    <n v="2"/>
    <n v="1"/>
    <s v="Laboratory Technician"/>
    <n v="3"/>
    <s v="Single"/>
    <x v="1"/>
    <n v="2028"/>
    <n v="12947"/>
    <n v="5"/>
    <s v="Yes"/>
    <s v="Yes"/>
    <n v="14"/>
    <x v="0"/>
    <n v="2"/>
    <n v="80"/>
    <n v="0"/>
    <n v="6"/>
    <n v="4"/>
    <n v="3"/>
    <n v="4"/>
    <n v="2"/>
    <x v="0"/>
    <n v="3"/>
  </r>
  <r>
    <n v="29"/>
    <x v="1"/>
    <s v="Travel_Rarely"/>
    <n v="1389"/>
    <x v="1"/>
    <n v="21"/>
    <n v="4"/>
    <s v="Life Sciences"/>
    <n v="1"/>
    <n v="20"/>
    <n v="2"/>
    <x v="0"/>
    <n v="51"/>
    <n v="4"/>
    <n v="3"/>
    <s v="Manufacturing Director"/>
    <n v="1"/>
    <s v="Divorced"/>
    <x v="3"/>
    <n v="9980"/>
    <n v="10195"/>
    <n v="1"/>
    <s v="Yes"/>
    <s v="No"/>
    <n v="11"/>
    <x v="0"/>
    <n v="3"/>
    <n v="80"/>
    <n v="1"/>
    <n v="10"/>
    <n v="1"/>
    <n v="3"/>
    <n v="10"/>
    <n v="9"/>
    <x v="6"/>
    <n v="8"/>
  </r>
  <r>
    <n v="32"/>
    <x v="1"/>
    <s v="Travel_Rarely"/>
    <n v="334"/>
    <x v="1"/>
    <n v="5"/>
    <n v="2"/>
    <s v="Life Sciences"/>
    <n v="1"/>
    <n v="21"/>
    <n v="1"/>
    <x v="1"/>
    <n v="80"/>
    <n v="4"/>
    <n v="1"/>
    <s v="Research Scientist"/>
    <n v="2"/>
    <s v="Divorced"/>
    <x v="2"/>
    <n v="3298"/>
    <n v="15053"/>
    <n v="0"/>
    <s v="Yes"/>
    <s v="Yes"/>
    <n v="12"/>
    <x v="0"/>
    <n v="4"/>
    <n v="80"/>
    <n v="2"/>
    <n v="7"/>
    <n v="5"/>
    <n v="2"/>
    <n v="6"/>
    <n v="2"/>
    <x v="0"/>
    <n v="5"/>
  </r>
  <r>
    <n v="22"/>
    <x v="1"/>
    <s v="Non-Travel"/>
    <n v="1123"/>
    <x v="1"/>
    <n v="16"/>
    <n v="2"/>
    <s v="Medical"/>
    <n v="1"/>
    <n v="22"/>
    <n v="4"/>
    <x v="1"/>
    <n v="96"/>
    <n v="4"/>
    <n v="1"/>
    <s v="Laboratory Technician"/>
    <n v="4"/>
    <s v="Divorced"/>
    <x v="1"/>
    <n v="2935"/>
    <n v="7324"/>
    <n v="1"/>
    <s v="Yes"/>
    <s v="Yes"/>
    <n v="13"/>
    <x v="0"/>
    <n v="2"/>
    <n v="80"/>
    <n v="2"/>
    <n v="1"/>
    <n v="2"/>
    <n v="2"/>
    <n v="1"/>
    <n v="0"/>
    <x v="0"/>
    <n v="0"/>
  </r>
  <r>
    <n v="53"/>
    <x v="1"/>
    <s v="Travel_Rarely"/>
    <n v="1219"/>
    <x v="0"/>
    <n v="2"/>
    <n v="4"/>
    <s v="Life Sciences"/>
    <n v="1"/>
    <n v="23"/>
    <n v="1"/>
    <x v="0"/>
    <n v="78"/>
    <n v="2"/>
    <n v="4"/>
    <s v="Manager"/>
    <n v="4"/>
    <s v="Married"/>
    <x v="5"/>
    <n v="15427"/>
    <n v="22021"/>
    <n v="2"/>
    <s v="Yes"/>
    <s v="No"/>
    <n v="16"/>
    <x v="0"/>
    <n v="3"/>
    <n v="80"/>
    <n v="0"/>
    <n v="31"/>
    <n v="3"/>
    <n v="3"/>
    <n v="25"/>
    <n v="8"/>
    <x v="2"/>
    <n v="7"/>
  </r>
  <r>
    <n v="38"/>
    <x v="1"/>
    <s v="Travel_Rarely"/>
    <n v="371"/>
    <x v="1"/>
    <n v="2"/>
    <n v="3"/>
    <s v="Life Sciences"/>
    <n v="1"/>
    <n v="24"/>
    <n v="4"/>
    <x v="1"/>
    <n v="45"/>
    <n v="3"/>
    <n v="1"/>
    <s v="Research Scientist"/>
    <n v="4"/>
    <s v="Single"/>
    <x v="2"/>
    <n v="3944"/>
    <n v="4306"/>
    <n v="5"/>
    <s v="Yes"/>
    <s v="Yes"/>
    <n v="11"/>
    <x v="0"/>
    <n v="3"/>
    <n v="80"/>
    <n v="0"/>
    <n v="6"/>
    <n v="3"/>
    <n v="3"/>
    <n v="3"/>
    <n v="2"/>
    <x v="1"/>
    <n v="2"/>
  </r>
  <r>
    <n v="24"/>
    <x v="1"/>
    <s v="Non-Travel"/>
    <n v="673"/>
    <x v="1"/>
    <n v="11"/>
    <n v="2"/>
    <s v="Other"/>
    <n v="1"/>
    <n v="26"/>
    <n v="1"/>
    <x v="0"/>
    <n v="96"/>
    <n v="4"/>
    <n v="2"/>
    <s v="Manufacturing Director"/>
    <n v="3"/>
    <s v="Divorced"/>
    <x v="4"/>
    <n v="4011"/>
    <n v="8232"/>
    <n v="0"/>
    <s v="Yes"/>
    <s v="No"/>
    <n v="18"/>
    <x v="0"/>
    <n v="4"/>
    <n v="80"/>
    <n v="1"/>
    <n v="5"/>
    <n v="5"/>
    <n v="2"/>
    <n v="4"/>
    <n v="2"/>
    <x v="1"/>
    <n v="3"/>
  </r>
  <r>
    <n v="36"/>
    <x v="0"/>
    <s v="Travel_Rarely"/>
    <n v="1218"/>
    <x v="0"/>
    <n v="9"/>
    <n v="4"/>
    <s v="Life Sciences"/>
    <n v="1"/>
    <n v="27"/>
    <n v="3"/>
    <x v="1"/>
    <n v="82"/>
    <n v="2"/>
    <n v="1"/>
    <s v="Sales Representative"/>
    <n v="1"/>
    <s v="Single"/>
    <x v="2"/>
    <n v="3407"/>
    <n v="6986"/>
    <n v="7"/>
    <s v="Yes"/>
    <s v="No"/>
    <n v="23"/>
    <x v="1"/>
    <n v="2"/>
    <n v="80"/>
    <n v="0"/>
    <n v="10"/>
    <n v="4"/>
    <n v="3"/>
    <n v="5"/>
    <n v="3"/>
    <x v="0"/>
    <n v="3"/>
  </r>
  <r>
    <n v="34"/>
    <x v="1"/>
    <s v="Travel_Rarely"/>
    <n v="419"/>
    <x v="1"/>
    <n v="7"/>
    <n v="4"/>
    <s v="Life Sciences"/>
    <n v="1"/>
    <n v="28"/>
    <n v="1"/>
    <x v="0"/>
    <n v="53"/>
    <n v="3"/>
    <n v="3"/>
    <s v="Research Director"/>
    <n v="2"/>
    <s v="Single"/>
    <x v="6"/>
    <n v="11994"/>
    <n v="21293"/>
    <n v="0"/>
    <s v="Yes"/>
    <s v="No"/>
    <n v="11"/>
    <x v="0"/>
    <n v="3"/>
    <n v="80"/>
    <n v="0"/>
    <n v="13"/>
    <n v="4"/>
    <n v="3"/>
    <n v="12"/>
    <n v="6"/>
    <x v="3"/>
    <n v="11"/>
  </r>
  <r>
    <n v="21"/>
    <x v="1"/>
    <s v="Travel_Rarely"/>
    <n v="391"/>
    <x v="1"/>
    <n v="15"/>
    <n v="2"/>
    <s v="Life Sciences"/>
    <n v="1"/>
    <n v="30"/>
    <n v="3"/>
    <x v="1"/>
    <n v="96"/>
    <n v="3"/>
    <n v="1"/>
    <s v="Research Scientist"/>
    <n v="4"/>
    <s v="Single"/>
    <x v="7"/>
    <n v="1232"/>
    <n v="19281"/>
    <n v="1"/>
    <s v="Yes"/>
    <s v="No"/>
    <n v="14"/>
    <x v="0"/>
    <n v="4"/>
    <n v="80"/>
    <n v="0"/>
    <n v="0"/>
    <n v="6"/>
    <n v="3"/>
    <n v="0"/>
    <n v="0"/>
    <x v="0"/>
    <n v="0"/>
  </r>
  <r>
    <n v="34"/>
    <x v="0"/>
    <s v="Travel_Rarely"/>
    <n v="699"/>
    <x v="1"/>
    <n v="6"/>
    <n v="1"/>
    <s v="Medical"/>
    <n v="1"/>
    <n v="31"/>
    <n v="2"/>
    <x v="1"/>
    <n v="83"/>
    <n v="3"/>
    <n v="1"/>
    <s v="Research Scientist"/>
    <n v="1"/>
    <s v="Single"/>
    <x v="1"/>
    <n v="2960"/>
    <n v="17102"/>
    <n v="2"/>
    <s v="Yes"/>
    <s v="No"/>
    <n v="11"/>
    <x v="0"/>
    <n v="3"/>
    <n v="80"/>
    <n v="0"/>
    <n v="8"/>
    <n v="2"/>
    <n v="3"/>
    <n v="4"/>
    <n v="2"/>
    <x v="1"/>
    <n v="3"/>
  </r>
  <r>
    <n v="53"/>
    <x v="1"/>
    <s v="Travel_Rarely"/>
    <n v="1282"/>
    <x v="1"/>
    <n v="5"/>
    <n v="3"/>
    <s v="Other"/>
    <n v="1"/>
    <n v="32"/>
    <n v="3"/>
    <x v="0"/>
    <n v="58"/>
    <n v="3"/>
    <n v="5"/>
    <s v="Manager"/>
    <n v="3"/>
    <s v="Divorced"/>
    <x v="8"/>
    <n v="19094"/>
    <n v="10735"/>
    <n v="4"/>
    <s v="Yes"/>
    <s v="No"/>
    <n v="11"/>
    <x v="0"/>
    <n v="4"/>
    <n v="80"/>
    <n v="1"/>
    <n v="26"/>
    <n v="3"/>
    <n v="2"/>
    <n v="14"/>
    <n v="13"/>
    <x v="5"/>
    <n v="8"/>
  </r>
  <r>
    <n v="32"/>
    <x v="0"/>
    <s v="Travel_Frequently"/>
    <n v="1125"/>
    <x v="1"/>
    <n v="16"/>
    <n v="1"/>
    <s v="Life Sciences"/>
    <n v="1"/>
    <n v="33"/>
    <n v="2"/>
    <x v="0"/>
    <n v="72"/>
    <n v="1"/>
    <n v="1"/>
    <s v="Research Scientist"/>
    <n v="1"/>
    <s v="Single"/>
    <x v="2"/>
    <n v="3919"/>
    <n v="4681"/>
    <n v="1"/>
    <s v="Yes"/>
    <s v="Yes"/>
    <n v="22"/>
    <x v="1"/>
    <n v="2"/>
    <n v="80"/>
    <n v="0"/>
    <n v="10"/>
    <n v="5"/>
    <n v="3"/>
    <n v="10"/>
    <n v="2"/>
    <x v="7"/>
    <n v="7"/>
  </r>
  <r>
    <n v="42"/>
    <x v="1"/>
    <s v="Travel_Rarely"/>
    <n v="691"/>
    <x v="0"/>
    <n v="8"/>
    <n v="4"/>
    <s v="Marketing"/>
    <n v="1"/>
    <n v="35"/>
    <n v="3"/>
    <x v="1"/>
    <n v="48"/>
    <n v="3"/>
    <n v="2"/>
    <s v="Sales Executive"/>
    <n v="2"/>
    <s v="Married"/>
    <x v="9"/>
    <n v="6825"/>
    <n v="21173"/>
    <n v="0"/>
    <s v="Yes"/>
    <s v="No"/>
    <n v="11"/>
    <x v="0"/>
    <n v="4"/>
    <n v="80"/>
    <n v="1"/>
    <n v="10"/>
    <n v="2"/>
    <n v="3"/>
    <n v="9"/>
    <n v="7"/>
    <x v="5"/>
    <n v="2"/>
  </r>
  <r>
    <n v="44"/>
    <x v="1"/>
    <s v="Travel_Rarely"/>
    <n v="477"/>
    <x v="1"/>
    <n v="7"/>
    <n v="4"/>
    <s v="Medical"/>
    <n v="1"/>
    <n v="36"/>
    <n v="1"/>
    <x v="0"/>
    <n v="42"/>
    <n v="2"/>
    <n v="3"/>
    <s v="Healthcare Representative"/>
    <n v="4"/>
    <s v="Married"/>
    <x v="10"/>
    <n v="10248"/>
    <n v="2094"/>
    <n v="3"/>
    <s v="Yes"/>
    <s v="No"/>
    <n v="14"/>
    <x v="0"/>
    <n v="4"/>
    <n v="80"/>
    <n v="1"/>
    <n v="24"/>
    <n v="4"/>
    <n v="3"/>
    <n v="22"/>
    <n v="6"/>
    <x v="8"/>
    <n v="17"/>
  </r>
  <r>
    <n v="46"/>
    <x v="1"/>
    <s v="Travel_Rarely"/>
    <n v="705"/>
    <x v="0"/>
    <n v="2"/>
    <n v="4"/>
    <s v="Marketing"/>
    <n v="1"/>
    <n v="38"/>
    <n v="2"/>
    <x v="0"/>
    <n v="83"/>
    <n v="3"/>
    <n v="5"/>
    <s v="Manager"/>
    <n v="1"/>
    <s v="Single"/>
    <x v="11"/>
    <n v="18947"/>
    <n v="22822"/>
    <n v="3"/>
    <s v="Yes"/>
    <s v="No"/>
    <n v="12"/>
    <x v="0"/>
    <n v="4"/>
    <n v="80"/>
    <n v="0"/>
    <n v="22"/>
    <n v="2"/>
    <n v="2"/>
    <n v="2"/>
    <n v="2"/>
    <x v="3"/>
    <n v="1"/>
  </r>
  <r>
    <n v="33"/>
    <x v="1"/>
    <s v="Travel_Rarely"/>
    <n v="924"/>
    <x v="1"/>
    <n v="2"/>
    <n v="3"/>
    <s v="Medical"/>
    <n v="1"/>
    <n v="39"/>
    <n v="3"/>
    <x v="1"/>
    <n v="78"/>
    <n v="3"/>
    <n v="1"/>
    <s v="Laboratory Technician"/>
    <n v="4"/>
    <s v="Single"/>
    <x v="1"/>
    <n v="2496"/>
    <n v="6670"/>
    <n v="4"/>
    <s v="Yes"/>
    <s v="No"/>
    <n v="11"/>
    <x v="0"/>
    <n v="4"/>
    <n v="80"/>
    <n v="0"/>
    <n v="7"/>
    <n v="3"/>
    <n v="3"/>
    <n v="1"/>
    <n v="1"/>
    <x v="0"/>
    <n v="0"/>
  </r>
  <r>
    <n v="44"/>
    <x v="1"/>
    <s v="Travel_Rarely"/>
    <n v="1459"/>
    <x v="1"/>
    <n v="10"/>
    <n v="4"/>
    <s v="Other"/>
    <n v="1"/>
    <n v="40"/>
    <n v="4"/>
    <x v="1"/>
    <n v="41"/>
    <n v="3"/>
    <n v="2"/>
    <s v="Healthcare Representative"/>
    <n v="4"/>
    <s v="Married"/>
    <x v="9"/>
    <n v="6465"/>
    <n v="19121"/>
    <n v="2"/>
    <s v="Yes"/>
    <s v="Yes"/>
    <n v="13"/>
    <x v="0"/>
    <n v="4"/>
    <n v="80"/>
    <n v="0"/>
    <n v="9"/>
    <n v="5"/>
    <n v="4"/>
    <n v="4"/>
    <n v="2"/>
    <x v="1"/>
    <n v="3"/>
  </r>
  <r>
    <n v="30"/>
    <x v="1"/>
    <s v="Travel_Rarely"/>
    <n v="125"/>
    <x v="1"/>
    <n v="9"/>
    <n v="2"/>
    <s v="Medical"/>
    <n v="1"/>
    <n v="41"/>
    <n v="4"/>
    <x v="1"/>
    <n v="83"/>
    <n v="2"/>
    <n v="1"/>
    <s v="Laboratory Technician"/>
    <n v="3"/>
    <s v="Single"/>
    <x v="1"/>
    <n v="2206"/>
    <n v="16117"/>
    <n v="1"/>
    <s v="Yes"/>
    <s v="No"/>
    <n v="13"/>
    <x v="0"/>
    <n v="1"/>
    <n v="80"/>
    <n v="0"/>
    <n v="10"/>
    <n v="5"/>
    <n v="3"/>
    <n v="10"/>
    <n v="0"/>
    <x v="1"/>
    <n v="8"/>
  </r>
  <r>
    <n v="39"/>
    <x v="0"/>
    <s v="Travel_Rarely"/>
    <n v="895"/>
    <x v="0"/>
    <n v="5"/>
    <n v="3"/>
    <s v="Technical Degree"/>
    <n v="1"/>
    <n v="42"/>
    <n v="4"/>
    <x v="1"/>
    <n v="56"/>
    <n v="3"/>
    <n v="2"/>
    <s v="Sales Representative"/>
    <n v="4"/>
    <s v="Married"/>
    <x v="1"/>
    <n v="2086"/>
    <n v="3335"/>
    <n v="3"/>
    <s v="Yes"/>
    <s v="No"/>
    <n v="14"/>
    <x v="0"/>
    <n v="3"/>
    <n v="80"/>
    <n v="1"/>
    <n v="19"/>
    <n v="6"/>
    <n v="4"/>
    <n v="1"/>
    <n v="0"/>
    <x v="0"/>
    <n v="0"/>
  </r>
  <r>
    <n v="24"/>
    <x v="0"/>
    <s v="Travel_Rarely"/>
    <n v="813"/>
    <x v="1"/>
    <n v="1"/>
    <n v="3"/>
    <s v="Medical"/>
    <n v="1"/>
    <n v="45"/>
    <n v="2"/>
    <x v="1"/>
    <n v="61"/>
    <n v="3"/>
    <n v="1"/>
    <s v="Research Scientist"/>
    <n v="4"/>
    <s v="Married"/>
    <x v="1"/>
    <n v="2293"/>
    <n v="3020"/>
    <n v="2"/>
    <s v="Yes"/>
    <s v="Yes"/>
    <n v="16"/>
    <x v="0"/>
    <n v="1"/>
    <n v="80"/>
    <n v="1"/>
    <n v="6"/>
    <n v="2"/>
    <n v="2"/>
    <n v="2"/>
    <n v="0"/>
    <x v="3"/>
    <n v="0"/>
  </r>
  <r>
    <n v="43"/>
    <x v="1"/>
    <s v="Travel_Rarely"/>
    <n v="1273"/>
    <x v="1"/>
    <n v="2"/>
    <n v="2"/>
    <s v="Medical"/>
    <n v="1"/>
    <n v="46"/>
    <n v="4"/>
    <x v="0"/>
    <n v="72"/>
    <n v="4"/>
    <n v="1"/>
    <s v="Research Scientist"/>
    <n v="3"/>
    <s v="Divorced"/>
    <x v="1"/>
    <n v="2645"/>
    <n v="21923"/>
    <n v="1"/>
    <s v="Yes"/>
    <s v="No"/>
    <n v="12"/>
    <x v="0"/>
    <n v="4"/>
    <n v="80"/>
    <n v="2"/>
    <n v="6"/>
    <n v="3"/>
    <n v="2"/>
    <n v="5"/>
    <n v="3"/>
    <x v="1"/>
    <n v="4"/>
  </r>
  <r>
    <n v="50"/>
    <x v="0"/>
    <s v="Travel_Rarely"/>
    <n v="869"/>
    <x v="0"/>
    <n v="3"/>
    <n v="2"/>
    <s v="Marketing"/>
    <n v="1"/>
    <n v="47"/>
    <n v="1"/>
    <x v="1"/>
    <n v="86"/>
    <n v="2"/>
    <n v="1"/>
    <s v="Sales Representative"/>
    <n v="3"/>
    <s v="Married"/>
    <x v="1"/>
    <n v="2683"/>
    <n v="3810"/>
    <n v="1"/>
    <s v="Yes"/>
    <s v="Yes"/>
    <n v="14"/>
    <x v="0"/>
    <n v="3"/>
    <n v="80"/>
    <n v="0"/>
    <n v="3"/>
    <n v="2"/>
    <n v="3"/>
    <n v="3"/>
    <n v="2"/>
    <x v="0"/>
    <n v="2"/>
  </r>
  <r>
    <n v="35"/>
    <x v="1"/>
    <s v="Travel_Rarely"/>
    <n v="890"/>
    <x v="0"/>
    <n v="2"/>
    <n v="3"/>
    <s v="Marketing"/>
    <n v="1"/>
    <n v="49"/>
    <n v="4"/>
    <x v="0"/>
    <n v="97"/>
    <n v="3"/>
    <n v="1"/>
    <s v="Sales Representative"/>
    <n v="4"/>
    <s v="Married"/>
    <x v="1"/>
    <n v="2014"/>
    <n v="9687"/>
    <n v="1"/>
    <s v="Yes"/>
    <s v="No"/>
    <n v="13"/>
    <x v="0"/>
    <n v="1"/>
    <n v="80"/>
    <n v="0"/>
    <n v="2"/>
    <n v="3"/>
    <n v="3"/>
    <n v="2"/>
    <n v="2"/>
    <x v="3"/>
    <n v="2"/>
  </r>
  <r>
    <n v="36"/>
    <x v="1"/>
    <s v="Travel_Rarely"/>
    <n v="852"/>
    <x v="1"/>
    <n v="5"/>
    <n v="4"/>
    <s v="Life Sciences"/>
    <n v="1"/>
    <n v="51"/>
    <n v="2"/>
    <x v="0"/>
    <n v="82"/>
    <n v="2"/>
    <n v="1"/>
    <s v="Research Scientist"/>
    <n v="1"/>
    <s v="Married"/>
    <x v="2"/>
    <n v="3419"/>
    <n v="13072"/>
    <n v="9"/>
    <s v="Yes"/>
    <s v="Yes"/>
    <n v="14"/>
    <x v="0"/>
    <n v="4"/>
    <n v="80"/>
    <n v="1"/>
    <n v="6"/>
    <n v="3"/>
    <n v="4"/>
    <n v="1"/>
    <n v="1"/>
    <x v="0"/>
    <n v="0"/>
  </r>
  <r>
    <n v="33"/>
    <x v="1"/>
    <s v="Travel_Frequently"/>
    <n v="1141"/>
    <x v="0"/>
    <n v="1"/>
    <n v="3"/>
    <s v="Life Sciences"/>
    <n v="1"/>
    <n v="52"/>
    <n v="3"/>
    <x v="0"/>
    <n v="42"/>
    <n v="4"/>
    <n v="2"/>
    <s v="Sales Executive"/>
    <n v="1"/>
    <s v="Married"/>
    <x v="0"/>
    <n v="5376"/>
    <n v="3193"/>
    <n v="2"/>
    <s v="Yes"/>
    <s v="No"/>
    <n v="19"/>
    <x v="0"/>
    <n v="1"/>
    <n v="80"/>
    <n v="2"/>
    <n v="10"/>
    <n v="3"/>
    <n v="3"/>
    <n v="5"/>
    <n v="3"/>
    <x v="1"/>
    <n v="3"/>
  </r>
  <r>
    <n v="35"/>
    <x v="1"/>
    <s v="Travel_Rarely"/>
    <n v="464"/>
    <x v="1"/>
    <n v="4"/>
    <n v="2"/>
    <s v="Other"/>
    <n v="1"/>
    <n v="53"/>
    <n v="3"/>
    <x v="1"/>
    <n v="75"/>
    <n v="3"/>
    <n v="1"/>
    <s v="Laboratory Technician"/>
    <n v="4"/>
    <s v="Divorced"/>
    <x v="7"/>
    <n v="1951"/>
    <n v="10910"/>
    <n v="1"/>
    <s v="Yes"/>
    <s v="No"/>
    <n v="12"/>
    <x v="0"/>
    <n v="3"/>
    <n v="80"/>
    <n v="1"/>
    <n v="1"/>
    <n v="3"/>
    <n v="3"/>
    <n v="1"/>
    <n v="0"/>
    <x v="0"/>
    <n v="0"/>
  </r>
  <r>
    <n v="27"/>
    <x v="1"/>
    <s v="Travel_Rarely"/>
    <n v="1240"/>
    <x v="1"/>
    <n v="2"/>
    <n v="4"/>
    <s v="Life Sciences"/>
    <n v="1"/>
    <n v="54"/>
    <n v="4"/>
    <x v="0"/>
    <n v="33"/>
    <n v="3"/>
    <n v="1"/>
    <s v="Laboratory Technician"/>
    <n v="1"/>
    <s v="Divorced"/>
    <x v="1"/>
    <n v="2341"/>
    <n v="19715"/>
    <n v="1"/>
    <s v="Yes"/>
    <s v="No"/>
    <n v="13"/>
    <x v="0"/>
    <n v="4"/>
    <n v="80"/>
    <n v="1"/>
    <n v="1"/>
    <n v="6"/>
    <n v="3"/>
    <n v="1"/>
    <n v="0"/>
    <x v="0"/>
    <n v="0"/>
  </r>
  <r>
    <n v="26"/>
    <x v="0"/>
    <s v="Travel_Rarely"/>
    <n v="1357"/>
    <x v="1"/>
    <n v="25"/>
    <n v="3"/>
    <s v="Life Sciences"/>
    <n v="1"/>
    <n v="55"/>
    <n v="1"/>
    <x v="1"/>
    <n v="48"/>
    <n v="1"/>
    <n v="1"/>
    <s v="Laboratory Technician"/>
    <n v="3"/>
    <s v="Single"/>
    <x v="1"/>
    <n v="2293"/>
    <n v="10558"/>
    <n v="1"/>
    <s v="Yes"/>
    <s v="No"/>
    <n v="12"/>
    <x v="0"/>
    <n v="3"/>
    <n v="80"/>
    <n v="0"/>
    <n v="1"/>
    <n v="2"/>
    <n v="2"/>
    <n v="1"/>
    <n v="0"/>
    <x v="0"/>
    <n v="1"/>
  </r>
  <r>
    <n v="27"/>
    <x v="1"/>
    <s v="Travel_Frequently"/>
    <n v="994"/>
    <x v="0"/>
    <n v="8"/>
    <n v="3"/>
    <s v="Life Sciences"/>
    <n v="1"/>
    <n v="56"/>
    <n v="4"/>
    <x v="1"/>
    <n v="37"/>
    <n v="3"/>
    <n v="3"/>
    <s v="Sales Executive"/>
    <n v="3"/>
    <s v="Single"/>
    <x v="12"/>
    <n v="8726"/>
    <n v="2975"/>
    <n v="1"/>
    <s v="Yes"/>
    <s v="No"/>
    <n v="15"/>
    <x v="0"/>
    <n v="4"/>
    <n v="80"/>
    <n v="0"/>
    <n v="9"/>
    <n v="0"/>
    <n v="3"/>
    <n v="9"/>
    <n v="8"/>
    <x v="1"/>
    <n v="7"/>
  </r>
  <r>
    <n v="30"/>
    <x v="1"/>
    <s v="Travel_Frequently"/>
    <n v="721"/>
    <x v="1"/>
    <n v="1"/>
    <n v="2"/>
    <s v="Medical"/>
    <n v="1"/>
    <n v="57"/>
    <n v="3"/>
    <x v="0"/>
    <n v="58"/>
    <n v="3"/>
    <n v="2"/>
    <s v="Laboratory Technician"/>
    <n v="4"/>
    <s v="Single"/>
    <x v="4"/>
    <n v="4011"/>
    <n v="10781"/>
    <n v="1"/>
    <s v="Yes"/>
    <s v="No"/>
    <n v="23"/>
    <x v="1"/>
    <n v="4"/>
    <n v="80"/>
    <n v="0"/>
    <n v="12"/>
    <n v="2"/>
    <n v="3"/>
    <n v="12"/>
    <n v="8"/>
    <x v="2"/>
    <n v="7"/>
  </r>
  <r>
    <n v="41"/>
    <x v="0"/>
    <s v="Travel_Rarely"/>
    <n v="1360"/>
    <x v="1"/>
    <n v="12"/>
    <n v="3"/>
    <s v="Technical Degree"/>
    <n v="1"/>
    <n v="58"/>
    <n v="2"/>
    <x v="0"/>
    <n v="49"/>
    <n v="3"/>
    <n v="5"/>
    <s v="Research Director"/>
    <n v="3"/>
    <s v="Married"/>
    <x v="8"/>
    <n v="19545"/>
    <n v="16280"/>
    <n v="1"/>
    <s v="Yes"/>
    <s v="No"/>
    <n v="12"/>
    <x v="0"/>
    <n v="4"/>
    <n v="80"/>
    <n v="0"/>
    <n v="23"/>
    <n v="0"/>
    <n v="3"/>
    <n v="22"/>
    <n v="15"/>
    <x v="9"/>
    <n v="8"/>
  </r>
  <r>
    <n v="34"/>
    <x v="1"/>
    <s v="Non-Travel"/>
    <n v="1065"/>
    <x v="0"/>
    <n v="23"/>
    <n v="4"/>
    <s v="Marketing"/>
    <n v="1"/>
    <n v="60"/>
    <n v="2"/>
    <x v="1"/>
    <n v="72"/>
    <n v="3"/>
    <n v="2"/>
    <s v="Sales Executive"/>
    <n v="3"/>
    <s v="Single"/>
    <x v="4"/>
    <n v="4568"/>
    <n v="10034"/>
    <n v="0"/>
    <s v="Yes"/>
    <s v="No"/>
    <n v="20"/>
    <x v="1"/>
    <n v="3"/>
    <n v="80"/>
    <n v="0"/>
    <n v="10"/>
    <n v="2"/>
    <n v="3"/>
    <n v="9"/>
    <n v="5"/>
    <x v="6"/>
    <n v="7"/>
  </r>
  <r>
    <n v="37"/>
    <x v="1"/>
    <s v="Travel_Rarely"/>
    <n v="408"/>
    <x v="1"/>
    <n v="19"/>
    <n v="2"/>
    <s v="Life Sciences"/>
    <n v="1"/>
    <n v="61"/>
    <n v="2"/>
    <x v="1"/>
    <n v="73"/>
    <n v="3"/>
    <n v="1"/>
    <s v="Research Scientist"/>
    <n v="2"/>
    <s v="Married"/>
    <x v="2"/>
    <n v="3022"/>
    <n v="10227"/>
    <n v="4"/>
    <s v="Yes"/>
    <s v="No"/>
    <n v="21"/>
    <x v="1"/>
    <n v="1"/>
    <n v="80"/>
    <n v="0"/>
    <n v="8"/>
    <n v="1"/>
    <n v="3"/>
    <n v="1"/>
    <n v="0"/>
    <x v="0"/>
    <n v="0"/>
  </r>
  <r>
    <n v="46"/>
    <x v="1"/>
    <s v="Travel_Frequently"/>
    <n v="1211"/>
    <x v="0"/>
    <n v="5"/>
    <n v="4"/>
    <s v="Marketing"/>
    <n v="1"/>
    <n v="62"/>
    <n v="1"/>
    <x v="1"/>
    <n v="98"/>
    <n v="3"/>
    <n v="2"/>
    <s v="Sales Executive"/>
    <n v="4"/>
    <s v="Single"/>
    <x v="0"/>
    <n v="5772"/>
    <n v="20445"/>
    <n v="4"/>
    <s v="Yes"/>
    <s v="Yes"/>
    <n v="21"/>
    <x v="1"/>
    <n v="3"/>
    <n v="80"/>
    <n v="0"/>
    <n v="14"/>
    <n v="4"/>
    <n v="3"/>
    <n v="9"/>
    <n v="6"/>
    <x v="0"/>
    <n v="8"/>
  </r>
  <r>
    <n v="35"/>
    <x v="1"/>
    <s v="Travel_Rarely"/>
    <n v="1229"/>
    <x v="1"/>
    <n v="8"/>
    <n v="1"/>
    <s v="Life Sciences"/>
    <n v="1"/>
    <n v="63"/>
    <n v="4"/>
    <x v="1"/>
    <n v="36"/>
    <n v="4"/>
    <n v="1"/>
    <s v="Laboratory Technician"/>
    <n v="4"/>
    <s v="Married"/>
    <x v="1"/>
    <n v="2269"/>
    <n v="4892"/>
    <n v="1"/>
    <s v="Yes"/>
    <s v="No"/>
    <n v="19"/>
    <x v="0"/>
    <n v="4"/>
    <n v="80"/>
    <n v="0"/>
    <n v="1"/>
    <n v="2"/>
    <n v="3"/>
    <n v="1"/>
    <n v="0"/>
    <x v="0"/>
    <n v="1"/>
  </r>
  <r>
    <n v="48"/>
    <x v="0"/>
    <s v="Travel_Rarely"/>
    <n v="626"/>
    <x v="1"/>
    <n v="1"/>
    <n v="2"/>
    <s v="Life Sciences"/>
    <n v="1"/>
    <n v="64"/>
    <n v="1"/>
    <x v="1"/>
    <n v="98"/>
    <n v="2"/>
    <n v="3"/>
    <s v="Laboratory Technician"/>
    <n v="3"/>
    <s v="Single"/>
    <x v="0"/>
    <n v="5381"/>
    <n v="19294"/>
    <n v="9"/>
    <s v="Yes"/>
    <s v="Yes"/>
    <n v="13"/>
    <x v="0"/>
    <n v="4"/>
    <n v="80"/>
    <n v="0"/>
    <n v="23"/>
    <n v="2"/>
    <n v="3"/>
    <n v="1"/>
    <n v="0"/>
    <x v="0"/>
    <n v="0"/>
  </r>
  <r>
    <n v="28"/>
    <x v="0"/>
    <s v="Travel_Rarely"/>
    <n v="1434"/>
    <x v="1"/>
    <n v="5"/>
    <n v="4"/>
    <s v="Technical Degree"/>
    <n v="1"/>
    <n v="65"/>
    <n v="3"/>
    <x v="1"/>
    <n v="50"/>
    <n v="3"/>
    <n v="1"/>
    <s v="Laboratory Technician"/>
    <n v="3"/>
    <s v="Single"/>
    <x v="2"/>
    <n v="3441"/>
    <n v="11179"/>
    <n v="1"/>
    <s v="Yes"/>
    <s v="Yes"/>
    <n v="13"/>
    <x v="0"/>
    <n v="3"/>
    <n v="80"/>
    <n v="0"/>
    <n v="2"/>
    <n v="3"/>
    <n v="2"/>
    <n v="2"/>
    <n v="2"/>
    <x v="3"/>
    <n v="2"/>
  </r>
  <r>
    <n v="44"/>
    <x v="1"/>
    <s v="Travel_Rarely"/>
    <n v="1488"/>
    <x v="0"/>
    <n v="1"/>
    <n v="5"/>
    <s v="Marketing"/>
    <n v="1"/>
    <n v="68"/>
    <n v="2"/>
    <x v="0"/>
    <n v="75"/>
    <n v="3"/>
    <n v="2"/>
    <s v="Sales Executive"/>
    <n v="1"/>
    <s v="Divorced"/>
    <x v="0"/>
    <n v="5454"/>
    <n v="4009"/>
    <n v="5"/>
    <s v="Yes"/>
    <s v="Yes"/>
    <n v="21"/>
    <x v="1"/>
    <n v="3"/>
    <n v="80"/>
    <n v="1"/>
    <n v="9"/>
    <n v="2"/>
    <n v="2"/>
    <n v="4"/>
    <n v="3"/>
    <x v="1"/>
    <n v="3"/>
  </r>
  <r>
    <n v="35"/>
    <x v="1"/>
    <s v="Non-Travel"/>
    <n v="1097"/>
    <x v="1"/>
    <n v="11"/>
    <n v="2"/>
    <s v="Medical"/>
    <n v="1"/>
    <n v="70"/>
    <n v="3"/>
    <x v="1"/>
    <n v="79"/>
    <n v="2"/>
    <n v="3"/>
    <s v="Healthcare Representative"/>
    <n v="1"/>
    <s v="Married"/>
    <x v="3"/>
    <n v="9884"/>
    <n v="8302"/>
    <n v="2"/>
    <s v="Yes"/>
    <s v="Yes"/>
    <n v="13"/>
    <x v="0"/>
    <n v="3"/>
    <n v="80"/>
    <n v="1"/>
    <n v="10"/>
    <n v="3"/>
    <n v="3"/>
    <n v="4"/>
    <n v="0"/>
    <x v="3"/>
    <n v="3"/>
  </r>
  <r>
    <n v="26"/>
    <x v="1"/>
    <s v="Travel_Rarely"/>
    <n v="1443"/>
    <x v="0"/>
    <n v="23"/>
    <n v="3"/>
    <s v="Marketing"/>
    <n v="1"/>
    <n v="72"/>
    <n v="3"/>
    <x v="0"/>
    <n v="47"/>
    <n v="2"/>
    <n v="2"/>
    <s v="Sales Executive"/>
    <n v="4"/>
    <s v="Married"/>
    <x v="4"/>
    <n v="4157"/>
    <n v="21436"/>
    <n v="7"/>
    <s v="Yes"/>
    <s v="Yes"/>
    <n v="19"/>
    <x v="0"/>
    <n v="3"/>
    <n v="80"/>
    <n v="1"/>
    <n v="5"/>
    <n v="2"/>
    <n v="2"/>
    <n v="2"/>
    <n v="2"/>
    <x v="0"/>
    <n v="0"/>
  </r>
  <r>
    <n v="33"/>
    <x v="1"/>
    <s v="Travel_Frequently"/>
    <n v="515"/>
    <x v="1"/>
    <n v="1"/>
    <n v="2"/>
    <s v="Life Sciences"/>
    <n v="1"/>
    <n v="73"/>
    <n v="1"/>
    <x v="0"/>
    <n v="98"/>
    <n v="3"/>
    <n v="3"/>
    <s v="Research Director"/>
    <n v="4"/>
    <s v="Single"/>
    <x v="13"/>
    <n v="13458"/>
    <n v="15146"/>
    <n v="1"/>
    <s v="Yes"/>
    <s v="Yes"/>
    <n v="12"/>
    <x v="0"/>
    <n v="3"/>
    <n v="80"/>
    <n v="0"/>
    <n v="15"/>
    <n v="1"/>
    <n v="3"/>
    <n v="15"/>
    <n v="14"/>
    <x v="6"/>
    <n v="12"/>
  </r>
  <r>
    <n v="35"/>
    <x v="1"/>
    <s v="Travel_Frequently"/>
    <n v="853"/>
    <x v="0"/>
    <n v="18"/>
    <n v="5"/>
    <s v="Life Sciences"/>
    <n v="1"/>
    <n v="74"/>
    <n v="2"/>
    <x v="1"/>
    <n v="71"/>
    <n v="3"/>
    <n v="3"/>
    <s v="Sales Executive"/>
    <n v="1"/>
    <s v="Married"/>
    <x v="3"/>
    <n v="9069"/>
    <n v="11031"/>
    <n v="1"/>
    <s v="Yes"/>
    <s v="No"/>
    <n v="22"/>
    <x v="1"/>
    <n v="4"/>
    <n v="80"/>
    <n v="1"/>
    <n v="9"/>
    <n v="3"/>
    <n v="2"/>
    <n v="9"/>
    <n v="8"/>
    <x v="1"/>
    <n v="8"/>
  </r>
  <r>
    <n v="35"/>
    <x v="1"/>
    <s v="Travel_Rarely"/>
    <n v="1142"/>
    <x v="1"/>
    <n v="23"/>
    <n v="4"/>
    <s v="Medical"/>
    <n v="1"/>
    <n v="75"/>
    <n v="3"/>
    <x v="0"/>
    <n v="30"/>
    <n v="3"/>
    <n v="1"/>
    <s v="Laboratory Technician"/>
    <n v="1"/>
    <s v="Married"/>
    <x v="4"/>
    <n v="4014"/>
    <n v="16002"/>
    <n v="3"/>
    <s v="Yes"/>
    <s v="Yes"/>
    <n v="15"/>
    <x v="0"/>
    <n v="3"/>
    <n v="80"/>
    <n v="1"/>
    <n v="4"/>
    <n v="3"/>
    <n v="3"/>
    <n v="2"/>
    <n v="2"/>
    <x v="3"/>
    <n v="2"/>
  </r>
  <r>
    <n v="31"/>
    <x v="1"/>
    <s v="Travel_Rarely"/>
    <n v="655"/>
    <x v="1"/>
    <n v="7"/>
    <n v="4"/>
    <s v="Life Sciences"/>
    <n v="1"/>
    <n v="76"/>
    <n v="4"/>
    <x v="1"/>
    <n v="48"/>
    <n v="3"/>
    <n v="2"/>
    <s v="Laboratory Technician"/>
    <n v="4"/>
    <s v="Divorced"/>
    <x v="0"/>
    <n v="5915"/>
    <n v="9528"/>
    <n v="3"/>
    <s v="Yes"/>
    <s v="No"/>
    <n v="22"/>
    <x v="1"/>
    <n v="4"/>
    <n v="80"/>
    <n v="1"/>
    <n v="10"/>
    <n v="3"/>
    <n v="2"/>
    <n v="7"/>
    <n v="7"/>
    <x v="1"/>
    <n v="7"/>
  </r>
  <r>
    <n v="37"/>
    <x v="1"/>
    <s v="Travel_Rarely"/>
    <n v="1115"/>
    <x v="1"/>
    <n v="1"/>
    <n v="4"/>
    <s v="Life Sciences"/>
    <n v="1"/>
    <n v="77"/>
    <n v="1"/>
    <x v="1"/>
    <n v="51"/>
    <n v="2"/>
    <n v="2"/>
    <s v="Manufacturing Director"/>
    <n v="3"/>
    <s v="Divorced"/>
    <x v="0"/>
    <n v="5993"/>
    <n v="2689"/>
    <n v="1"/>
    <s v="Yes"/>
    <s v="No"/>
    <n v="18"/>
    <x v="0"/>
    <n v="3"/>
    <n v="80"/>
    <n v="1"/>
    <n v="7"/>
    <n v="2"/>
    <n v="4"/>
    <n v="7"/>
    <n v="5"/>
    <x v="0"/>
    <n v="7"/>
  </r>
  <r>
    <n v="32"/>
    <x v="1"/>
    <s v="Travel_Rarely"/>
    <n v="427"/>
    <x v="1"/>
    <n v="1"/>
    <n v="3"/>
    <s v="Medical"/>
    <n v="1"/>
    <n v="78"/>
    <n v="1"/>
    <x v="1"/>
    <n v="33"/>
    <n v="3"/>
    <n v="2"/>
    <s v="Manufacturing Director"/>
    <n v="4"/>
    <s v="Married"/>
    <x v="9"/>
    <n v="6162"/>
    <n v="10877"/>
    <n v="1"/>
    <s v="Yes"/>
    <s v="Yes"/>
    <n v="22"/>
    <x v="1"/>
    <n v="2"/>
    <n v="80"/>
    <n v="1"/>
    <n v="9"/>
    <n v="3"/>
    <n v="3"/>
    <n v="9"/>
    <n v="8"/>
    <x v="4"/>
    <n v="8"/>
  </r>
  <r>
    <n v="38"/>
    <x v="1"/>
    <s v="Travel_Frequently"/>
    <n v="653"/>
    <x v="1"/>
    <n v="29"/>
    <n v="5"/>
    <s v="Life Sciences"/>
    <n v="1"/>
    <n v="79"/>
    <n v="4"/>
    <x v="0"/>
    <n v="50"/>
    <n v="3"/>
    <n v="2"/>
    <s v="Laboratory Technician"/>
    <n v="4"/>
    <s v="Single"/>
    <x v="1"/>
    <n v="2406"/>
    <n v="5456"/>
    <n v="1"/>
    <s v="Yes"/>
    <s v="No"/>
    <n v="11"/>
    <x v="0"/>
    <n v="4"/>
    <n v="80"/>
    <n v="0"/>
    <n v="10"/>
    <n v="2"/>
    <n v="3"/>
    <n v="10"/>
    <n v="3"/>
    <x v="10"/>
    <n v="9"/>
  </r>
  <r>
    <n v="50"/>
    <x v="1"/>
    <s v="Travel_Rarely"/>
    <n v="989"/>
    <x v="1"/>
    <n v="7"/>
    <n v="2"/>
    <s v="Medical"/>
    <n v="1"/>
    <n v="80"/>
    <n v="2"/>
    <x v="0"/>
    <n v="43"/>
    <n v="2"/>
    <n v="5"/>
    <s v="Research Director"/>
    <n v="3"/>
    <s v="Divorced"/>
    <x v="11"/>
    <n v="18740"/>
    <n v="16701"/>
    <n v="5"/>
    <s v="Yes"/>
    <s v="Yes"/>
    <n v="12"/>
    <x v="0"/>
    <n v="4"/>
    <n v="80"/>
    <n v="1"/>
    <n v="29"/>
    <n v="2"/>
    <n v="2"/>
    <n v="27"/>
    <n v="3"/>
    <x v="11"/>
    <n v="8"/>
  </r>
  <r>
    <n v="59"/>
    <x v="1"/>
    <s v="Travel_Rarely"/>
    <n v="1435"/>
    <x v="0"/>
    <n v="25"/>
    <n v="3"/>
    <s v="Life Sciences"/>
    <n v="1"/>
    <n v="81"/>
    <n v="1"/>
    <x v="0"/>
    <n v="99"/>
    <n v="3"/>
    <n v="3"/>
    <s v="Sales Executive"/>
    <n v="1"/>
    <s v="Single"/>
    <x v="14"/>
    <n v="7637"/>
    <n v="2354"/>
    <n v="7"/>
    <s v="Yes"/>
    <s v="No"/>
    <n v="11"/>
    <x v="0"/>
    <n v="4"/>
    <n v="80"/>
    <n v="0"/>
    <n v="28"/>
    <n v="3"/>
    <n v="2"/>
    <n v="21"/>
    <n v="16"/>
    <x v="4"/>
    <n v="9"/>
  </r>
  <r>
    <n v="36"/>
    <x v="1"/>
    <s v="Travel_Rarely"/>
    <n v="1223"/>
    <x v="1"/>
    <n v="8"/>
    <n v="3"/>
    <s v="Technical Degree"/>
    <n v="1"/>
    <n v="83"/>
    <n v="3"/>
    <x v="0"/>
    <n v="59"/>
    <n v="3"/>
    <n v="3"/>
    <s v="Healthcare Representative"/>
    <n v="3"/>
    <s v="Divorced"/>
    <x v="10"/>
    <n v="10096"/>
    <n v="8202"/>
    <n v="1"/>
    <s v="Yes"/>
    <s v="No"/>
    <n v="13"/>
    <x v="0"/>
    <n v="2"/>
    <n v="80"/>
    <n v="3"/>
    <n v="17"/>
    <n v="2"/>
    <n v="3"/>
    <n v="17"/>
    <n v="14"/>
    <x v="12"/>
    <n v="8"/>
  </r>
  <r>
    <n v="55"/>
    <x v="1"/>
    <s v="Travel_Rarely"/>
    <n v="836"/>
    <x v="1"/>
    <n v="8"/>
    <n v="3"/>
    <s v="Medical"/>
    <n v="1"/>
    <n v="84"/>
    <n v="4"/>
    <x v="0"/>
    <n v="33"/>
    <n v="3"/>
    <n v="4"/>
    <s v="Manager"/>
    <n v="3"/>
    <s v="Divorced"/>
    <x v="15"/>
    <n v="14756"/>
    <n v="19730"/>
    <n v="2"/>
    <s v="Yes"/>
    <s v="Yes"/>
    <n v="14"/>
    <x v="0"/>
    <n v="3"/>
    <n v="80"/>
    <n v="3"/>
    <n v="21"/>
    <n v="2"/>
    <n v="3"/>
    <n v="5"/>
    <n v="0"/>
    <x v="0"/>
    <n v="2"/>
  </r>
  <r>
    <n v="36"/>
    <x v="1"/>
    <s v="Travel_Frequently"/>
    <n v="1195"/>
    <x v="1"/>
    <n v="11"/>
    <n v="3"/>
    <s v="Life Sciences"/>
    <n v="1"/>
    <n v="85"/>
    <n v="2"/>
    <x v="1"/>
    <n v="95"/>
    <n v="2"/>
    <n v="2"/>
    <s v="Manufacturing Director"/>
    <n v="2"/>
    <s v="Single"/>
    <x v="9"/>
    <n v="6499"/>
    <n v="22656"/>
    <n v="1"/>
    <s v="Yes"/>
    <s v="No"/>
    <n v="13"/>
    <x v="0"/>
    <n v="3"/>
    <n v="80"/>
    <n v="0"/>
    <n v="6"/>
    <n v="3"/>
    <n v="3"/>
    <n v="6"/>
    <n v="5"/>
    <x v="0"/>
    <n v="3"/>
  </r>
  <r>
    <n v="45"/>
    <x v="1"/>
    <s v="Travel_Rarely"/>
    <n v="1339"/>
    <x v="1"/>
    <n v="7"/>
    <n v="3"/>
    <s v="Life Sciences"/>
    <n v="1"/>
    <n v="86"/>
    <n v="2"/>
    <x v="1"/>
    <n v="59"/>
    <n v="3"/>
    <n v="3"/>
    <s v="Research Scientist"/>
    <n v="1"/>
    <s v="Divorced"/>
    <x v="3"/>
    <n v="9724"/>
    <n v="18787"/>
    <n v="2"/>
    <s v="Yes"/>
    <s v="No"/>
    <n v="17"/>
    <x v="0"/>
    <n v="3"/>
    <n v="80"/>
    <n v="1"/>
    <n v="25"/>
    <n v="2"/>
    <n v="3"/>
    <n v="1"/>
    <n v="0"/>
    <x v="0"/>
    <n v="0"/>
  </r>
  <r>
    <n v="35"/>
    <x v="1"/>
    <s v="Travel_Frequently"/>
    <n v="664"/>
    <x v="1"/>
    <n v="1"/>
    <n v="3"/>
    <s v="Medical"/>
    <n v="1"/>
    <n v="88"/>
    <n v="2"/>
    <x v="1"/>
    <n v="79"/>
    <n v="3"/>
    <n v="1"/>
    <s v="Research Scientist"/>
    <n v="1"/>
    <s v="Married"/>
    <x v="1"/>
    <n v="2194"/>
    <n v="5868"/>
    <n v="4"/>
    <s v="Yes"/>
    <s v="No"/>
    <n v="13"/>
    <x v="0"/>
    <n v="4"/>
    <n v="80"/>
    <n v="1"/>
    <n v="5"/>
    <n v="2"/>
    <n v="2"/>
    <n v="3"/>
    <n v="2"/>
    <x v="1"/>
    <n v="2"/>
  </r>
  <r>
    <n v="36"/>
    <x v="0"/>
    <s v="Travel_Rarely"/>
    <n v="318"/>
    <x v="1"/>
    <n v="9"/>
    <n v="3"/>
    <s v="Medical"/>
    <n v="1"/>
    <n v="90"/>
    <n v="4"/>
    <x v="1"/>
    <n v="79"/>
    <n v="2"/>
    <n v="1"/>
    <s v="Research Scientist"/>
    <n v="3"/>
    <s v="Married"/>
    <x v="2"/>
    <n v="3388"/>
    <n v="21777"/>
    <n v="0"/>
    <s v="Yes"/>
    <s v="Yes"/>
    <n v="17"/>
    <x v="0"/>
    <n v="1"/>
    <n v="80"/>
    <n v="1"/>
    <n v="2"/>
    <n v="0"/>
    <n v="2"/>
    <n v="1"/>
    <n v="0"/>
    <x v="0"/>
    <n v="0"/>
  </r>
  <r>
    <n v="59"/>
    <x v="1"/>
    <s v="Travel_Frequently"/>
    <n v="1225"/>
    <x v="0"/>
    <n v="1"/>
    <n v="1"/>
    <s v="Life Sciences"/>
    <n v="1"/>
    <n v="91"/>
    <n v="1"/>
    <x v="0"/>
    <n v="57"/>
    <n v="2"/>
    <n v="2"/>
    <s v="Sales Executive"/>
    <n v="3"/>
    <s v="Single"/>
    <x v="0"/>
    <n v="5473"/>
    <n v="24668"/>
    <n v="7"/>
    <s v="Yes"/>
    <s v="No"/>
    <n v="11"/>
    <x v="0"/>
    <n v="4"/>
    <n v="80"/>
    <n v="0"/>
    <n v="20"/>
    <n v="2"/>
    <n v="2"/>
    <n v="4"/>
    <n v="3"/>
    <x v="1"/>
    <n v="3"/>
  </r>
  <r>
    <n v="29"/>
    <x v="1"/>
    <s v="Travel_Rarely"/>
    <n v="1328"/>
    <x v="1"/>
    <n v="2"/>
    <n v="3"/>
    <s v="Life Sciences"/>
    <n v="1"/>
    <n v="94"/>
    <n v="3"/>
    <x v="1"/>
    <n v="76"/>
    <n v="3"/>
    <n v="1"/>
    <s v="Research Scientist"/>
    <n v="2"/>
    <s v="Married"/>
    <x v="1"/>
    <n v="2703"/>
    <n v="4956"/>
    <n v="0"/>
    <s v="Yes"/>
    <s v="No"/>
    <n v="23"/>
    <x v="1"/>
    <n v="4"/>
    <n v="80"/>
    <n v="1"/>
    <n v="6"/>
    <n v="3"/>
    <n v="3"/>
    <n v="5"/>
    <n v="4"/>
    <x v="0"/>
    <n v="4"/>
  </r>
  <r>
    <n v="31"/>
    <x v="1"/>
    <s v="Travel_Rarely"/>
    <n v="1082"/>
    <x v="1"/>
    <n v="1"/>
    <n v="4"/>
    <s v="Medical"/>
    <n v="1"/>
    <n v="95"/>
    <n v="3"/>
    <x v="1"/>
    <n v="87"/>
    <n v="3"/>
    <n v="1"/>
    <s v="Research Scientist"/>
    <n v="2"/>
    <s v="Single"/>
    <x v="1"/>
    <n v="2501"/>
    <n v="18775"/>
    <n v="1"/>
    <s v="Yes"/>
    <s v="No"/>
    <n v="17"/>
    <x v="0"/>
    <n v="2"/>
    <n v="80"/>
    <n v="0"/>
    <n v="1"/>
    <n v="4"/>
    <n v="3"/>
    <n v="1"/>
    <n v="1"/>
    <x v="1"/>
    <n v="0"/>
  </r>
  <r>
    <n v="32"/>
    <x v="1"/>
    <s v="Travel_Rarely"/>
    <n v="548"/>
    <x v="1"/>
    <n v="1"/>
    <n v="3"/>
    <s v="Life Sciences"/>
    <n v="1"/>
    <n v="96"/>
    <n v="2"/>
    <x v="1"/>
    <n v="66"/>
    <n v="3"/>
    <n v="2"/>
    <s v="Research Scientist"/>
    <n v="2"/>
    <s v="Married"/>
    <x v="9"/>
    <n v="6220"/>
    <n v="7346"/>
    <n v="1"/>
    <s v="Yes"/>
    <s v="No"/>
    <n v="17"/>
    <x v="0"/>
    <n v="2"/>
    <n v="80"/>
    <n v="2"/>
    <n v="10"/>
    <n v="3"/>
    <n v="3"/>
    <n v="10"/>
    <n v="4"/>
    <x v="0"/>
    <n v="9"/>
  </r>
  <r>
    <n v="36"/>
    <x v="1"/>
    <s v="Travel_Rarely"/>
    <n v="132"/>
    <x v="1"/>
    <n v="6"/>
    <n v="3"/>
    <s v="Life Sciences"/>
    <n v="1"/>
    <n v="97"/>
    <n v="2"/>
    <x v="0"/>
    <n v="55"/>
    <n v="4"/>
    <n v="1"/>
    <s v="Laboratory Technician"/>
    <n v="4"/>
    <s v="Married"/>
    <x v="2"/>
    <n v="3038"/>
    <n v="22002"/>
    <n v="3"/>
    <s v="Yes"/>
    <s v="No"/>
    <n v="12"/>
    <x v="0"/>
    <n v="2"/>
    <n v="80"/>
    <n v="0"/>
    <n v="5"/>
    <n v="3"/>
    <n v="3"/>
    <n v="1"/>
    <n v="0"/>
    <x v="0"/>
    <n v="0"/>
  </r>
  <r>
    <n v="31"/>
    <x v="1"/>
    <s v="Travel_Rarely"/>
    <n v="746"/>
    <x v="1"/>
    <n v="8"/>
    <n v="4"/>
    <s v="Life Sciences"/>
    <n v="1"/>
    <n v="98"/>
    <n v="3"/>
    <x v="0"/>
    <n v="61"/>
    <n v="3"/>
    <n v="2"/>
    <s v="Manufacturing Director"/>
    <n v="4"/>
    <s v="Single"/>
    <x v="4"/>
    <n v="4424"/>
    <n v="20682"/>
    <n v="1"/>
    <s v="Yes"/>
    <s v="No"/>
    <n v="23"/>
    <x v="1"/>
    <n v="4"/>
    <n v="80"/>
    <n v="0"/>
    <n v="11"/>
    <n v="2"/>
    <n v="3"/>
    <n v="11"/>
    <n v="7"/>
    <x v="1"/>
    <n v="8"/>
  </r>
  <r>
    <n v="35"/>
    <x v="1"/>
    <s v="Travel_Rarely"/>
    <n v="776"/>
    <x v="0"/>
    <n v="1"/>
    <n v="4"/>
    <s v="Marketing"/>
    <n v="1"/>
    <n v="100"/>
    <n v="3"/>
    <x v="1"/>
    <n v="32"/>
    <n v="2"/>
    <n v="2"/>
    <s v="Sales Executive"/>
    <n v="1"/>
    <s v="Single"/>
    <x v="4"/>
    <n v="4312"/>
    <n v="23016"/>
    <n v="0"/>
    <s v="Yes"/>
    <s v="No"/>
    <n v="14"/>
    <x v="0"/>
    <n v="2"/>
    <n v="80"/>
    <n v="0"/>
    <n v="16"/>
    <n v="2"/>
    <n v="3"/>
    <n v="15"/>
    <n v="13"/>
    <x v="3"/>
    <n v="8"/>
  </r>
  <r>
    <n v="45"/>
    <x v="1"/>
    <s v="Travel_Rarely"/>
    <n v="193"/>
    <x v="1"/>
    <n v="6"/>
    <n v="4"/>
    <s v="Other"/>
    <n v="1"/>
    <n v="101"/>
    <n v="4"/>
    <x v="1"/>
    <n v="52"/>
    <n v="3"/>
    <n v="3"/>
    <s v="Research Director"/>
    <n v="1"/>
    <s v="Married"/>
    <x v="13"/>
    <n v="13245"/>
    <n v="15067"/>
    <n v="4"/>
    <s v="Yes"/>
    <s v="Yes"/>
    <n v="14"/>
    <x v="0"/>
    <n v="2"/>
    <n v="80"/>
    <n v="0"/>
    <n v="17"/>
    <n v="3"/>
    <n v="4"/>
    <n v="0"/>
    <n v="0"/>
    <x v="0"/>
    <n v="0"/>
  </r>
  <r>
    <n v="37"/>
    <x v="1"/>
    <s v="Travel_Rarely"/>
    <n v="397"/>
    <x v="1"/>
    <n v="7"/>
    <n v="4"/>
    <s v="Medical"/>
    <n v="1"/>
    <n v="102"/>
    <n v="1"/>
    <x v="1"/>
    <n v="30"/>
    <n v="3"/>
    <n v="3"/>
    <s v="Research Director"/>
    <n v="3"/>
    <s v="Single"/>
    <x v="13"/>
    <n v="13664"/>
    <n v="25258"/>
    <n v="4"/>
    <s v="Yes"/>
    <s v="No"/>
    <n v="13"/>
    <x v="0"/>
    <n v="1"/>
    <n v="80"/>
    <n v="0"/>
    <n v="16"/>
    <n v="3"/>
    <n v="4"/>
    <n v="5"/>
    <n v="2"/>
    <x v="0"/>
    <n v="2"/>
  </r>
  <r>
    <n v="46"/>
    <x v="1"/>
    <s v="Travel_Rarely"/>
    <n v="945"/>
    <x v="2"/>
    <n v="5"/>
    <n v="2"/>
    <s v="Medical"/>
    <n v="1"/>
    <n v="103"/>
    <n v="2"/>
    <x v="1"/>
    <n v="80"/>
    <n v="3"/>
    <n v="2"/>
    <s v="Human Resources"/>
    <n v="2"/>
    <s v="Divorced"/>
    <x v="0"/>
    <n v="5021"/>
    <n v="10425"/>
    <n v="8"/>
    <s v="Yes"/>
    <s v="Yes"/>
    <n v="22"/>
    <x v="1"/>
    <n v="4"/>
    <n v="80"/>
    <n v="1"/>
    <n v="16"/>
    <n v="2"/>
    <n v="3"/>
    <n v="4"/>
    <n v="2"/>
    <x v="0"/>
    <n v="2"/>
  </r>
  <r>
    <n v="30"/>
    <x v="1"/>
    <s v="Travel_Rarely"/>
    <n v="852"/>
    <x v="1"/>
    <n v="1"/>
    <n v="1"/>
    <s v="Life Sciences"/>
    <n v="1"/>
    <n v="104"/>
    <n v="4"/>
    <x v="1"/>
    <n v="55"/>
    <n v="2"/>
    <n v="2"/>
    <s v="Laboratory Technician"/>
    <n v="4"/>
    <s v="Married"/>
    <x v="0"/>
    <n v="5126"/>
    <n v="15998"/>
    <n v="1"/>
    <s v="Yes"/>
    <s v="Yes"/>
    <n v="12"/>
    <x v="0"/>
    <n v="3"/>
    <n v="80"/>
    <n v="2"/>
    <n v="10"/>
    <n v="1"/>
    <n v="2"/>
    <n v="10"/>
    <n v="8"/>
    <x v="2"/>
    <n v="0"/>
  </r>
  <r>
    <n v="35"/>
    <x v="1"/>
    <s v="Travel_Rarely"/>
    <n v="1214"/>
    <x v="1"/>
    <n v="1"/>
    <n v="3"/>
    <s v="Medical"/>
    <n v="1"/>
    <n v="105"/>
    <n v="2"/>
    <x v="1"/>
    <n v="30"/>
    <n v="2"/>
    <n v="1"/>
    <s v="Research Scientist"/>
    <n v="3"/>
    <s v="Single"/>
    <x v="1"/>
    <n v="2859"/>
    <n v="26278"/>
    <n v="1"/>
    <s v="Yes"/>
    <s v="No"/>
    <n v="18"/>
    <x v="0"/>
    <n v="1"/>
    <n v="80"/>
    <n v="0"/>
    <n v="6"/>
    <n v="3"/>
    <n v="3"/>
    <n v="6"/>
    <n v="4"/>
    <x v="0"/>
    <n v="4"/>
  </r>
  <r>
    <n v="55"/>
    <x v="1"/>
    <s v="Travel_Rarely"/>
    <n v="111"/>
    <x v="0"/>
    <n v="1"/>
    <n v="2"/>
    <s v="Life Sciences"/>
    <n v="1"/>
    <n v="106"/>
    <n v="1"/>
    <x v="1"/>
    <n v="70"/>
    <n v="3"/>
    <n v="3"/>
    <s v="Sales Executive"/>
    <n v="4"/>
    <s v="Married"/>
    <x v="10"/>
    <n v="10239"/>
    <n v="18092"/>
    <n v="3"/>
    <s v="Yes"/>
    <s v="No"/>
    <n v="14"/>
    <x v="0"/>
    <n v="4"/>
    <n v="80"/>
    <n v="1"/>
    <n v="24"/>
    <n v="4"/>
    <n v="3"/>
    <n v="1"/>
    <n v="0"/>
    <x v="1"/>
    <n v="0"/>
  </r>
  <r>
    <n v="38"/>
    <x v="1"/>
    <s v="Non-Travel"/>
    <n v="573"/>
    <x v="1"/>
    <n v="6"/>
    <n v="3"/>
    <s v="Medical"/>
    <n v="1"/>
    <n v="107"/>
    <n v="2"/>
    <x v="0"/>
    <n v="79"/>
    <n v="1"/>
    <n v="2"/>
    <s v="Research Scientist"/>
    <n v="4"/>
    <s v="Divorced"/>
    <x v="0"/>
    <n v="5329"/>
    <n v="15717"/>
    <n v="7"/>
    <s v="Yes"/>
    <s v="Yes"/>
    <n v="12"/>
    <x v="0"/>
    <n v="4"/>
    <n v="80"/>
    <n v="3"/>
    <n v="17"/>
    <n v="3"/>
    <n v="3"/>
    <n v="13"/>
    <n v="11"/>
    <x v="1"/>
    <n v="9"/>
  </r>
  <r>
    <n v="34"/>
    <x v="1"/>
    <s v="Travel_Rarely"/>
    <n v="1153"/>
    <x v="1"/>
    <n v="1"/>
    <n v="2"/>
    <s v="Medical"/>
    <n v="1"/>
    <n v="110"/>
    <n v="1"/>
    <x v="1"/>
    <n v="94"/>
    <n v="3"/>
    <n v="2"/>
    <s v="Manufacturing Director"/>
    <n v="2"/>
    <s v="Married"/>
    <x v="4"/>
    <n v="4325"/>
    <n v="17736"/>
    <n v="1"/>
    <s v="Yes"/>
    <s v="No"/>
    <n v="15"/>
    <x v="0"/>
    <n v="3"/>
    <n v="80"/>
    <n v="0"/>
    <n v="5"/>
    <n v="2"/>
    <n v="3"/>
    <n v="5"/>
    <n v="2"/>
    <x v="1"/>
    <n v="3"/>
  </r>
  <r>
    <n v="56"/>
    <x v="1"/>
    <s v="Travel_Rarely"/>
    <n v="1400"/>
    <x v="1"/>
    <n v="7"/>
    <n v="3"/>
    <s v="Life Sciences"/>
    <n v="1"/>
    <n v="112"/>
    <n v="4"/>
    <x v="1"/>
    <n v="49"/>
    <n v="1"/>
    <n v="3"/>
    <s v="Manufacturing Director"/>
    <n v="4"/>
    <s v="Single"/>
    <x v="14"/>
    <n v="7260"/>
    <n v="21698"/>
    <n v="4"/>
    <s v="Yes"/>
    <s v="No"/>
    <n v="11"/>
    <x v="0"/>
    <n v="1"/>
    <n v="80"/>
    <n v="0"/>
    <n v="37"/>
    <n v="3"/>
    <n v="2"/>
    <n v="6"/>
    <n v="4"/>
    <x v="0"/>
    <n v="2"/>
  </r>
  <r>
    <n v="23"/>
    <x v="1"/>
    <s v="Travel_Rarely"/>
    <n v="541"/>
    <x v="0"/>
    <n v="2"/>
    <n v="1"/>
    <s v="Technical Degree"/>
    <n v="1"/>
    <n v="113"/>
    <n v="3"/>
    <x v="1"/>
    <n v="62"/>
    <n v="3"/>
    <n v="1"/>
    <s v="Sales Representative"/>
    <n v="1"/>
    <s v="Divorced"/>
    <x v="1"/>
    <n v="2322"/>
    <n v="9518"/>
    <n v="3"/>
    <s v="Yes"/>
    <s v="No"/>
    <n v="13"/>
    <x v="0"/>
    <n v="3"/>
    <n v="80"/>
    <n v="1"/>
    <n v="3"/>
    <n v="3"/>
    <n v="3"/>
    <n v="0"/>
    <n v="0"/>
    <x v="0"/>
    <n v="0"/>
  </r>
  <r>
    <n v="51"/>
    <x v="1"/>
    <s v="Travel_Rarely"/>
    <n v="432"/>
    <x v="1"/>
    <n v="9"/>
    <n v="4"/>
    <s v="Life Sciences"/>
    <n v="1"/>
    <n v="116"/>
    <n v="4"/>
    <x v="1"/>
    <n v="96"/>
    <n v="3"/>
    <n v="1"/>
    <s v="Laboratory Technician"/>
    <n v="4"/>
    <s v="Married"/>
    <x v="1"/>
    <n v="2075"/>
    <n v="18725"/>
    <n v="3"/>
    <s v="Yes"/>
    <s v="No"/>
    <n v="23"/>
    <x v="1"/>
    <n v="2"/>
    <n v="80"/>
    <n v="2"/>
    <n v="10"/>
    <n v="4"/>
    <n v="3"/>
    <n v="4"/>
    <n v="2"/>
    <x v="0"/>
    <n v="3"/>
  </r>
  <r>
    <n v="30"/>
    <x v="1"/>
    <s v="Travel_Rarely"/>
    <n v="288"/>
    <x v="1"/>
    <n v="2"/>
    <n v="3"/>
    <s v="Life Sciences"/>
    <n v="1"/>
    <n v="117"/>
    <n v="3"/>
    <x v="1"/>
    <n v="99"/>
    <n v="2"/>
    <n v="2"/>
    <s v="Healthcare Representative"/>
    <n v="4"/>
    <s v="Married"/>
    <x v="4"/>
    <n v="4152"/>
    <n v="15830"/>
    <n v="1"/>
    <s v="Yes"/>
    <s v="No"/>
    <n v="19"/>
    <x v="0"/>
    <n v="1"/>
    <n v="80"/>
    <n v="3"/>
    <n v="11"/>
    <n v="3"/>
    <n v="3"/>
    <n v="11"/>
    <n v="10"/>
    <x v="13"/>
    <n v="8"/>
  </r>
  <r>
    <n v="46"/>
    <x v="0"/>
    <s v="Travel_Rarely"/>
    <n v="669"/>
    <x v="0"/>
    <n v="9"/>
    <n v="2"/>
    <s v="Medical"/>
    <n v="1"/>
    <n v="118"/>
    <n v="3"/>
    <x v="1"/>
    <n v="64"/>
    <n v="2"/>
    <n v="3"/>
    <s v="Sales Executive"/>
    <n v="4"/>
    <s v="Single"/>
    <x v="3"/>
    <n v="9619"/>
    <n v="13596"/>
    <n v="1"/>
    <s v="Yes"/>
    <s v="No"/>
    <n v="16"/>
    <x v="0"/>
    <n v="4"/>
    <n v="80"/>
    <n v="0"/>
    <n v="9"/>
    <n v="3"/>
    <n v="3"/>
    <n v="9"/>
    <n v="8"/>
    <x v="5"/>
    <n v="7"/>
  </r>
  <r>
    <n v="40"/>
    <x v="1"/>
    <s v="Travel_Frequently"/>
    <n v="530"/>
    <x v="1"/>
    <n v="1"/>
    <n v="4"/>
    <s v="Life Sciences"/>
    <n v="1"/>
    <n v="119"/>
    <n v="3"/>
    <x v="1"/>
    <n v="78"/>
    <n v="2"/>
    <n v="4"/>
    <s v="Healthcare Representative"/>
    <n v="2"/>
    <s v="Married"/>
    <x v="13"/>
    <n v="13503"/>
    <n v="14115"/>
    <n v="1"/>
    <s v="Yes"/>
    <s v="No"/>
    <n v="22"/>
    <x v="1"/>
    <n v="4"/>
    <n v="80"/>
    <n v="1"/>
    <n v="22"/>
    <n v="3"/>
    <n v="2"/>
    <n v="22"/>
    <n v="3"/>
    <x v="14"/>
    <n v="11"/>
  </r>
  <r>
    <n v="51"/>
    <x v="1"/>
    <s v="Travel_Rarely"/>
    <n v="632"/>
    <x v="0"/>
    <n v="21"/>
    <n v="4"/>
    <s v="Marketing"/>
    <n v="1"/>
    <n v="120"/>
    <n v="3"/>
    <x v="1"/>
    <n v="71"/>
    <n v="3"/>
    <n v="2"/>
    <s v="Sales Executive"/>
    <n v="4"/>
    <s v="Single"/>
    <x v="0"/>
    <n v="5441"/>
    <n v="8423"/>
    <n v="0"/>
    <s v="Yes"/>
    <s v="Yes"/>
    <n v="22"/>
    <x v="1"/>
    <n v="4"/>
    <n v="80"/>
    <n v="0"/>
    <n v="11"/>
    <n v="2"/>
    <n v="1"/>
    <n v="10"/>
    <n v="7"/>
    <x v="1"/>
    <n v="0"/>
  </r>
  <r>
    <n v="30"/>
    <x v="1"/>
    <s v="Travel_Rarely"/>
    <n v="1334"/>
    <x v="0"/>
    <n v="4"/>
    <n v="2"/>
    <s v="Medical"/>
    <n v="1"/>
    <n v="121"/>
    <n v="3"/>
    <x v="0"/>
    <n v="63"/>
    <n v="2"/>
    <n v="2"/>
    <s v="Sales Executive"/>
    <n v="2"/>
    <s v="Divorced"/>
    <x v="0"/>
    <n v="5209"/>
    <n v="19760"/>
    <n v="1"/>
    <s v="Yes"/>
    <s v="Yes"/>
    <n v="12"/>
    <x v="0"/>
    <n v="2"/>
    <n v="80"/>
    <n v="3"/>
    <n v="11"/>
    <n v="4"/>
    <n v="2"/>
    <n v="11"/>
    <n v="8"/>
    <x v="3"/>
    <n v="7"/>
  </r>
  <r>
    <n v="46"/>
    <x v="1"/>
    <s v="Travel_Frequently"/>
    <n v="638"/>
    <x v="1"/>
    <n v="1"/>
    <n v="3"/>
    <s v="Medical"/>
    <n v="1"/>
    <n v="124"/>
    <n v="3"/>
    <x v="1"/>
    <n v="40"/>
    <n v="2"/>
    <n v="3"/>
    <s v="Healthcare Representative"/>
    <n v="1"/>
    <s v="Married"/>
    <x v="10"/>
    <n v="10673"/>
    <n v="3142"/>
    <n v="2"/>
    <s v="Yes"/>
    <s v="Yes"/>
    <n v="13"/>
    <x v="0"/>
    <n v="3"/>
    <n v="80"/>
    <n v="1"/>
    <n v="21"/>
    <n v="5"/>
    <n v="2"/>
    <n v="10"/>
    <n v="9"/>
    <x v="10"/>
    <n v="5"/>
  </r>
  <r>
    <n v="32"/>
    <x v="1"/>
    <s v="Travel_Rarely"/>
    <n v="1093"/>
    <x v="0"/>
    <n v="6"/>
    <n v="4"/>
    <s v="Medical"/>
    <n v="1"/>
    <n v="125"/>
    <n v="2"/>
    <x v="1"/>
    <n v="87"/>
    <n v="3"/>
    <n v="2"/>
    <s v="Sales Executive"/>
    <n v="3"/>
    <s v="Single"/>
    <x v="0"/>
    <n v="5010"/>
    <n v="24301"/>
    <n v="1"/>
    <s v="Yes"/>
    <s v="No"/>
    <n v="16"/>
    <x v="0"/>
    <n v="1"/>
    <n v="80"/>
    <n v="0"/>
    <n v="12"/>
    <n v="0"/>
    <n v="3"/>
    <n v="11"/>
    <n v="8"/>
    <x v="8"/>
    <n v="7"/>
  </r>
  <r>
    <n v="54"/>
    <x v="1"/>
    <s v="Travel_Rarely"/>
    <n v="1217"/>
    <x v="1"/>
    <n v="2"/>
    <n v="4"/>
    <s v="Technical Degree"/>
    <n v="1"/>
    <n v="126"/>
    <n v="1"/>
    <x v="0"/>
    <n v="60"/>
    <n v="3"/>
    <n v="3"/>
    <s v="Research Director"/>
    <n v="3"/>
    <s v="Married"/>
    <x v="13"/>
    <n v="13549"/>
    <n v="24001"/>
    <n v="9"/>
    <s v="Yes"/>
    <s v="No"/>
    <n v="12"/>
    <x v="0"/>
    <n v="1"/>
    <n v="80"/>
    <n v="1"/>
    <n v="16"/>
    <n v="5"/>
    <n v="1"/>
    <n v="4"/>
    <n v="3"/>
    <x v="0"/>
    <n v="3"/>
  </r>
  <r>
    <n v="24"/>
    <x v="1"/>
    <s v="Travel_Rarely"/>
    <n v="1353"/>
    <x v="0"/>
    <n v="3"/>
    <n v="2"/>
    <s v="Other"/>
    <n v="1"/>
    <n v="128"/>
    <n v="1"/>
    <x v="0"/>
    <n v="33"/>
    <n v="3"/>
    <n v="2"/>
    <s v="Sales Executive"/>
    <n v="3"/>
    <s v="Married"/>
    <x v="4"/>
    <n v="4999"/>
    <n v="17519"/>
    <n v="0"/>
    <s v="Yes"/>
    <s v="No"/>
    <n v="21"/>
    <x v="1"/>
    <n v="1"/>
    <n v="80"/>
    <n v="1"/>
    <n v="4"/>
    <n v="2"/>
    <n v="2"/>
    <n v="3"/>
    <n v="2"/>
    <x v="0"/>
    <n v="2"/>
  </r>
  <r>
    <n v="28"/>
    <x v="1"/>
    <s v="Non-Travel"/>
    <n v="120"/>
    <x v="0"/>
    <n v="4"/>
    <n v="3"/>
    <s v="Medical"/>
    <n v="1"/>
    <n v="129"/>
    <n v="2"/>
    <x v="1"/>
    <n v="43"/>
    <n v="3"/>
    <n v="2"/>
    <s v="Sales Executive"/>
    <n v="3"/>
    <s v="Married"/>
    <x v="4"/>
    <n v="4221"/>
    <n v="8863"/>
    <n v="1"/>
    <s v="Yes"/>
    <s v="No"/>
    <n v="15"/>
    <x v="0"/>
    <n v="2"/>
    <n v="80"/>
    <n v="0"/>
    <n v="5"/>
    <n v="3"/>
    <n v="4"/>
    <n v="5"/>
    <n v="4"/>
    <x v="0"/>
    <n v="4"/>
  </r>
  <r>
    <n v="58"/>
    <x v="1"/>
    <s v="Travel_Rarely"/>
    <n v="682"/>
    <x v="0"/>
    <n v="10"/>
    <n v="4"/>
    <s v="Medical"/>
    <n v="1"/>
    <n v="131"/>
    <n v="4"/>
    <x v="1"/>
    <n v="37"/>
    <n v="3"/>
    <n v="4"/>
    <s v="Sales Executive"/>
    <n v="3"/>
    <s v="Single"/>
    <x v="13"/>
    <n v="13872"/>
    <n v="24409"/>
    <n v="0"/>
    <s v="Yes"/>
    <s v="No"/>
    <n v="13"/>
    <x v="0"/>
    <n v="3"/>
    <n v="80"/>
    <n v="0"/>
    <n v="38"/>
    <n v="1"/>
    <n v="2"/>
    <n v="37"/>
    <n v="10"/>
    <x v="1"/>
    <n v="8"/>
  </r>
  <r>
    <n v="44"/>
    <x v="1"/>
    <s v="Non-Travel"/>
    <n v="489"/>
    <x v="1"/>
    <n v="23"/>
    <n v="3"/>
    <s v="Medical"/>
    <n v="1"/>
    <n v="132"/>
    <n v="2"/>
    <x v="1"/>
    <n v="67"/>
    <n v="3"/>
    <n v="2"/>
    <s v="Laboratory Technician"/>
    <n v="2"/>
    <s v="Married"/>
    <x v="1"/>
    <n v="2042"/>
    <n v="25043"/>
    <n v="4"/>
    <s v="Yes"/>
    <s v="No"/>
    <n v="12"/>
    <x v="0"/>
    <n v="3"/>
    <n v="80"/>
    <n v="1"/>
    <n v="17"/>
    <n v="3"/>
    <n v="4"/>
    <n v="3"/>
    <n v="2"/>
    <x v="1"/>
    <n v="2"/>
  </r>
  <r>
    <n v="37"/>
    <x v="0"/>
    <s v="Travel_Rarely"/>
    <n v="807"/>
    <x v="2"/>
    <n v="6"/>
    <n v="4"/>
    <s v="Human Resources"/>
    <n v="1"/>
    <n v="133"/>
    <n v="3"/>
    <x v="1"/>
    <n v="63"/>
    <n v="3"/>
    <n v="1"/>
    <s v="Human Resources"/>
    <n v="1"/>
    <s v="Divorced"/>
    <x v="1"/>
    <n v="2073"/>
    <n v="23648"/>
    <n v="4"/>
    <s v="Yes"/>
    <s v="Yes"/>
    <n v="22"/>
    <x v="1"/>
    <n v="4"/>
    <n v="80"/>
    <n v="0"/>
    <n v="7"/>
    <n v="3"/>
    <n v="3"/>
    <n v="3"/>
    <n v="2"/>
    <x v="0"/>
    <n v="2"/>
  </r>
  <r>
    <n v="32"/>
    <x v="1"/>
    <s v="Travel_Rarely"/>
    <n v="827"/>
    <x v="1"/>
    <n v="1"/>
    <n v="1"/>
    <s v="Life Sciences"/>
    <n v="1"/>
    <n v="134"/>
    <n v="4"/>
    <x v="1"/>
    <n v="71"/>
    <n v="3"/>
    <n v="1"/>
    <s v="Research Scientist"/>
    <n v="1"/>
    <s v="Single"/>
    <x v="1"/>
    <n v="2956"/>
    <n v="15178"/>
    <n v="1"/>
    <s v="Yes"/>
    <s v="No"/>
    <n v="13"/>
    <x v="0"/>
    <n v="4"/>
    <n v="80"/>
    <n v="0"/>
    <n v="1"/>
    <n v="2"/>
    <n v="3"/>
    <n v="1"/>
    <n v="0"/>
    <x v="0"/>
    <n v="0"/>
  </r>
  <r>
    <n v="20"/>
    <x v="0"/>
    <s v="Travel_Frequently"/>
    <n v="871"/>
    <x v="1"/>
    <n v="6"/>
    <n v="3"/>
    <s v="Life Sciences"/>
    <n v="1"/>
    <n v="137"/>
    <n v="4"/>
    <x v="0"/>
    <n v="66"/>
    <n v="2"/>
    <n v="1"/>
    <s v="Laboratory Technician"/>
    <n v="4"/>
    <s v="Single"/>
    <x v="1"/>
    <n v="2926"/>
    <n v="19783"/>
    <n v="1"/>
    <s v="Yes"/>
    <s v="Yes"/>
    <n v="18"/>
    <x v="0"/>
    <n v="2"/>
    <n v="80"/>
    <n v="0"/>
    <n v="1"/>
    <n v="5"/>
    <n v="3"/>
    <n v="1"/>
    <n v="0"/>
    <x v="1"/>
    <n v="0"/>
  </r>
  <r>
    <n v="34"/>
    <x v="1"/>
    <s v="Travel_Rarely"/>
    <n v="665"/>
    <x v="1"/>
    <n v="6"/>
    <n v="4"/>
    <s v="Other"/>
    <n v="1"/>
    <n v="138"/>
    <n v="1"/>
    <x v="0"/>
    <n v="41"/>
    <n v="3"/>
    <n v="2"/>
    <s v="Research Scientist"/>
    <n v="3"/>
    <s v="Single"/>
    <x v="4"/>
    <n v="4809"/>
    <n v="12482"/>
    <n v="1"/>
    <s v="Yes"/>
    <s v="No"/>
    <n v="14"/>
    <x v="0"/>
    <n v="3"/>
    <n v="80"/>
    <n v="0"/>
    <n v="16"/>
    <n v="3"/>
    <n v="3"/>
    <n v="16"/>
    <n v="13"/>
    <x v="3"/>
    <n v="10"/>
  </r>
  <r>
    <n v="37"/>
    <x v="1"/>
    <s v="Non-Travel"/>
    <n v="1040"/>
    <x v="1"/>
    <n v="2"/>
    <n v="2"/>
    <s v="Life Sciences"/>
    <n v="1"/>
    <n v="139"/>
    <n v="3"/>
    <x v="1"/>
    <n v="100"/>
    <n v="2"/>
    <n v="2"/>
    <s v="Healthcare Representative"/>
    <n v="4"/>
    <s v="Divorced"/>
    <x v="0"/>
    <n v="5163"/>
    <n v="15850"/>
    <n v="5"/>
    <s v="Yes"/>
    <s v="No"/>
    <n v="14"/>
    <x v="0"/>
    <n v="4"/>
    <n v="80"/>
    <n v="1"/>
    <n v="17"/>
    <n v="2"/>
    <n v="4"/>
    <n v="1"/>
    <n v="0"/>
    <x v="0"/>
    <n v="0"/>
  </r>
  <r>
    <n v="59"/>
    <x v="1"/>
    <s v="Non-Travel"/>
    <n v="1420"/>
    <x v="2"/>
    <n v="2"/>
    <n v="4"/>
    <s v="Human Resources"/>
    <n v="1"/>
    <n v="140"/>
    <n v="3"/>
    <x v="0"/>
    <n v="32"/>
    <n v="2"/>
    <n v="5"/>
    <s v="Manager"/>
    <n v="4"/>
    <s v="Married"/>
    <x v="11"/>
    <n v="18844"/>
    <n v="21922"/>
    <n v="9"/>
    <s v="Yes"/>
    <s v="No"/>
    <n v="21"/>
    <x v="1"/>
    <n v="4"/>
    <n v="80"/>
    <n v="1"/>
    <n v="30"/>
    <n v="3"/>
    <n v="3"/>
    <n v="3"/>
    <n v="2"/>
    <x v="3"/>
    <n v="2"/>
  </r>
  <r>
    <n v="50"/>
    <x v="1"/>
    <s v="Travel_Frequently"/>
    <n v="1115"/>
    <x v="1"/>
    <n v="1"/>
    <n v="3"/>
    <s v="Life Sciences"/>
    <n v="1"/>
    <n v="141"/>
    <n v="1"/>
    <x v="0"/>
    <n v="73"/>
    <n v="3"/>
    <n v="5"/>
    <s v="Research Director"/>
    <n v="2"/>
    <s v="Married"/>
    <x v="11"/>
    <n v="18172"/>
    <n v="9755"/>
    <n v="3"/>
    <s v="Yes"/>
    <s v="Yes"/>
    <n v="19"/>
    <x v="0"/>
    <n v="1"/>
    <n v="80"/>
    <n v="0"/>
    <n v="28"/>
    <n v="1"/>
    <n v="2"/>
    <n v="8"/>
    <n v="3"/>
    <x v="0"/>
    <n v="7"/>
  </r>
  <r>
    <n v="25"/>
    <x v="0"/>
    <s v="Travel_Rarely"/>
    <n v="240"/>
    <x v="0"/>
    <n v="5"/>
    <n v="3"/>
    <s v="Marketing"/>
    <n v="1"/>
    <n v="142"/>
    <n v="3"/>
    <x v="1"/>
    <n v="46"/>
    <n v="2"/>
    <n v="2"/>
    <s v="Sales Executive"/>
    <n v="3"/>
    <s v="Single"/>
    <x v="0"/>
    <n v="5744"/>
    <n v="26959"/>
    <n v="1"/>
    <s v="Yes"/>
    <s v="Yes"/>
    <n v="11"/>
    <x v="0"/>
    <n v="4"/>
    <n v="80"/>
    <n v="0"/>
    <n v="6"/>
    <n v="1"/>
    <n v="3"/>
    <n v="6"/>
    <n v="4"/>
    <x v="0"/>
    <n v="3"/>
  </r>
  <r>
    <n v="25"/>
    <x v="1"/>
    <s v="Travel_Rarely"/>
    <n v="1280"/>
    <x v="1"/>
    <n v="7"/>
    <n v="1"/>
    <s v="Medical"/>
    <n v="1"/>
    <n v="143"/>
    <n v="4"/>
    <x v="1"/>
    <n v="64"/>
    <n v="2"/>
    <n v="1"/>
    <s v="Research Scientist"/>
    <n v="4"/>
    <s v="Married"/>
    <x v="1"/>
    <n v="2889"/>
    <n v="26897"/>
    <n v="1"/>
    <s v="Yes"/>
    <s v="No"/>
    <n v="11"/>
    <x v="0"/>
    <n v="3"/>
    <n v="80"/>
    <n v="2"/>
    <n v="2"/>
    <n v="2"/>
    <n v="3"/>
    <n v="2"/>
    <n v="2"/>
    <x v="3"/>
    <n v="1"/>
  </r>
  <r>
    <n v="22"/>
    <x v="1"/>
    <s v="Travel_Rarely"/>
    <n v="534"/>
    <x v="1"/>
    <n v="15"/>
    <n v="3"/>
    <s v="Medical"/>
    <n v="1"/>
    <n v="144"/>
    <n v="2"/>
    <x v="0"/>
    <n v="59"/>
    <n v="3"/>
    <n v="1"/>
    <s v="Laboratory Technician"/>
    <n v="4"/>
    <s v="Single"/>
    <x v="1"/>
    <n v="2871"/>
    <n v="23785"/>
    <n v="1"/>
    <s v="Yes"/>
    <s v="No"/>
    <n v="15"/>
    <x v="0"/>
    <n v="3"/>
    <n v="80"/>
    <n v="0"/>
    <n v="1"/>
    <n v="5"/>
    <n v="3"/>
    <n v="0"/>
    <n v="0"/>
    <x v="0"/>
    <n v="0"/>
  </r>
  <r>
    <n v="51"/>
    <x v="1"/>
    <s v="Travel_Frequently"/>
    <n v="1456"/>
    <x v="1"/>
    <n v="1"/>
    <n v="4"/>
    <s v="Medical"/>
    <n v="1"/>
    <n v="145"/>
    <n v="1"/>
    <x v="0"/>
    <n v="30"/>
    <n v="2"/>
    <n v="3"/>
    <s v="Healthcare Representative"/>
    <n v="1"/>
    <s v="Single"/>
    <x v="14"/>
    <n v="7484"/>
    <n v="25796"/>
    <n v="3"/>
    <s v="Yes"/>
    <s v="No"/>
    <n v="20"/>
    <x v="1"/>
    <n v="3"/>
    <n v="80"/>
    <n v="0"/>
    <n v="23"/>
    <n v="1"/>
    <n v="2"/>
    <n v="13"/>
    <n v="12"/>
    <x v="12"/>
    <n v="8"/>
  </r>
  <r>
    <n v="34"/>
    <x v="0"/>
    <s v="Travel_Frequently"/>
    <n v="658"/>
    <x v="1"/>
    <n v="7"/>
    <n v="3"/>
    <s v="Life Sciences"/>
    <n v="1"/>
    <n v="147"/>
    <n v="1"/>
    <x v="1"/>
    <n v="66"/>
    <n v="1"/>
    <n v="2"/>
    <s v="Laboratory Technician"/>
    <n v="3"/>
    <s v="Single"/>
    <x v="9"/>
    <n v="6074"/>
    <n v="22887"/>
    <n v="1"/>
    <s v="Yes"/>
    <s v="Yes"/>
    <n v="24"/>
    <x v="1"/>
    <n v="4"/>
    <n v="80"/>
    <n v="0"/>
    <n v="9"/>
    <n v="3"/>
    <n v="3"/>
    <n v="9"/>
    <n v="7"/>
    <x v="0"/>
    <n v="6"/>
  </r>
  <r>
    <n v="54"/>
    <x v="1"/>
    <s v="Non-Travel"/>
    <n v="142"/>
    <x v="2"/>
    <n v="26"/>
    <n v="3"/>
    <s v="Human Resources"/>
    <n v="1"/>
    <n v="148"/>
    <n v="4"/>
    <x v="0"/>
    <n v="30"/>
    <n v="4"/>
    <n v="4"/>
    <s v="Manager"/>
    <n v="4"/>
    <s v="Single"/>
    <x v="16"/>
    <n v="17328"/>
    <n v="13871"/>
    <n v="2"/>
    <s v="Yes"/>
    <s v="Yes"/>
    <n v="12"/>
    <x v="0"/>
    <n v="3"/>
    <n v="80"/>
    <n v="0"/>
    <n v="23"/>
    <n v="3"/>
    <n v="3"/>
    <n v="5"/>
    <n v="3"/>
    <x v="5"/>
    <n v="4"/>
  </r>
  <r>
    <n v="24"/>
    <x v="1"/>
    <s v="Travel_Rarely"/>
    <n v="1127"/>
    <x v="1"/>
    <n v="18"/>
    <n v="1"/>
    <s v="Life Sciences"/>
    <n v="1"/>
    <n v="150"/>
    <n v="2"/>
    <x v="1"/>
    <n v="52"/>
    <n v="3"/>
    <n v="1"/>
    <s v="Laboratory Technician"/>
    <n v="3"/>
    <s v="Married"/>
    <x v="1"/>
    <n v="2774"/>
    <n v="13257"/>
    <n v="0"/>
    <s v="Yes"/>
    <s v="No"/>
    <n v="12"/>
    <x v="0"/>
    <n v="3"/>
    <n v="80"/>
    <n v="1"/>
    <n v="6"/>
    <n v="2"/>
    <n v="3"/>
    <n v="5"/>
    <n v="3"/>
    <x v="1"/>
    <n v="2"/>
  </r>
  <r>
    <n v="34"/>
    <x v="1"/>
    <s v="Travel_Rarely"/>
    <n v="1031"/>
    <x v="1"/>
    <n v="6"/>
    <n v="4"/>
    <s v="Life Sciences"/>
    <n v="1"/>
    <n v="151"/>
    <n v="3"/>
    <x v="0"/>
    <n v="45"/>
    <n v="2"/>
    <n v="2"/>
    <s v="Research Scientist"/>
    <n v="2"/>
    <s v="Divorced"/>
    <x v="4"/>
    <n v="4505"/>
    <n v="15000"/>
    <n v="6"/>
    <s v="Yes"/>
    <s v="No"/>
    <n v="15"/>
    <x v="0"/>
    <n v="3"/>
    <n v="80"/>
    <n v="1"/>
    <n v="12"/>
    <n v="3"/>
    <n v="3"/>
    <n v="1"/>
    <n v="0"/>
    <x v="0"/>
    <n v="0"/>
  </r>
  <r>
    <n v="37"/>
    <x v="1"/>
    <s v="Travel_Rarely"/>
    <n v="1189"/>
    <x v="0"/>
    <n v="3"/>
    <n v="3"/>
    <s v="Life Sciences"/>
    <n v="1"/>
    <n v="152"/>
    <n v="3"/>
    <x v="1"/>
    <n v="87"/>
    <n v="3"/>
    <n v="3"/>
    <s v="Sales Executive"/>
    <n v="4"/>
    <s v="Single"/>
    <x v="14"/>
    <n v="7428"/>
    <n v="14506"/>
    <n v="2"/>
    <s v="Yes"/>
    <s v="No"/>
    <n v="12"/>
    <x v="0"/>
    <n v="1"/>
    <n v="80"/>
    <n v="0"/>
    <n v="12"/>
    <n v="3"/>
    <n v="3"/>
    <n v="5"/>
    <n v="3"/>
    <x v="1"/>
    <n v="3"/>
  </r>
  <r>
    <n v="34"/>
    <x v="1"/>
    <s v="Travel_Rarely"/>
    <n v="1354"/>
    <x v="1"/>
    <n v="5"/>
    <n v="3"/>
    <s v="Medical"/>
    <n v="1"/>
    <n v="153"/>
    <n v="3"/>
    <x v="0"/>
    <n v="45"/>
    <n v="2"/>
    <n v="3"/>
    <s v="Manager"/>
    <n v="1"/>
    <s v="Single"/>
    <x v="6"/>
    <n v="11631"/>
    <n v="5615"/>
    <n v="2"/>
    <s v="Yes"/>
    <s v="No"/>
    <n v="12"/>
    <x v="0"/>
    <n v="4"/>
    <n v="80"/>
    <n v="0"/>
    <n v="14"/>
    <n v="6"/>
    <n v="3"/>
    <n v="11"/>
    <n v="10"/>
    <x v="8"/>
    <n v="8"/>
  </r>
  <r>
    <n v="36"/>
    <x v="1"/>
    <s v="Travel_Frequently"/>
    <n v="1467"/>
    <x v="0"/>
    <n v="11"/>
    <n v="2"/>
    <s v="Technical Degree"/>
    <n v="1"/>
    <n v="154"/>
    <n v="2"/>
    <x v="0"/>
    <n v="92"/>
    <n v="3"/>
    <n v="3"/>
    <s v="Sales Executive"/>
    <n v="4"/>
    <s v="Married"/>
    <x v="3"/>
    <n v="9738"/>
    <n v="22952"/>
    <n v="0"/>
    <s v="Yes"/>
    <s v="No"/>
    <n v="14"/>
    <x v="0"/>
    <n v="3"/>
    <n v="80"/>
    <n v="1"/>
    <n v="10"/>
    <n v="6"/>
    <n v="3"/>
    <n v="9"/>
    <n v="7"/>
    <x v="3"/>
    <n v="8"/>
  </r>
  <r>
    <n v="36"/>
    <x v="1"/>
    <s v="Travel_Rarely"/>
    <n v="922"/>
    <x v="1"/>
    <n v="3"/>
    <n v="2"/>
    <s v="Life Sciences"/>
    <n v="1"/>
    <n v="155"/>
    <n v="1"/>
    <x v="0"/>
    <n v="39"/>
    <n v="3"/>
    <n v="1"/>
    <s v="Laboratory Technician"/>
    <n v="4"/>
    <s v="Divorced"/>
    <x v="1"/>
    <n v="2835"/>
    <n v="2561"/>
    <n v="5"/>
    <s v="Yes"/>
    <s v="No"/>
    <n v="22"/>
    <x v="1"/>
    <n v="1"/>
    <n v="80"/>
    <n v="1"/>
    <n v="7"/>
    <n v="2"/>
    <n v="3"/>
    <n v="1"/>
    <n v="0"/>
    <x v="0"/>
    <n v="0"/>
  </r>
  <r>
    <n v="43"/>
    <x v="1"/>
    <s v="Travel_Frequently"/>
    <n v="394"/>
    <x v="0"/>
    <n v="26"/>
    <n v="2"/>
    <s v="Life Sciences"/>
    <n v="1"/>
    <n v="158"/>
    <n v="3"/>
    <x v="1"/>
    <n v="92"/>
    <n v="3"/>
    <n v="4"/>
    <s v="Manager"/>
    <n v="4"/>
    <s v="Married"/>
    <x v="17"/>
    <n v="16959"/>
    <n v="19494"/>
    <n v="1"/>
    <s v="Yes"/>
    <s v="Yes"/>
    <n v="12"/>
    <x v="0"/>
    <n v="4"/>
    <n v="80"/>
    <n v="2"/>
    <n v="25"/>
    <n v="3"/>
    <n v="4"/>
    <n v="25"/>
    <n v="12"/>
    <x v="5"/>
    <n v="12"/>
  </r>
  <r>
    <n v="30"/>
    <x v="1"/>
    <s v="Travel_Frequently"/>
    <n v="1312"/>
    <x v="1"/>
    <n v="23"/>
    <n v="3"/>
    <s v="Life Sciences"/>
    <n v="1"/>
    <n v="159"/>
    <n v="1"/>
    <x v="1"/>
    <n v="96"/>
    <n v="1"/>
    <n v="1"/>
    <s v="Research Scientist"/>
    <n v="3"/>
    <s v="Divorced"/>
    <x v="1"/>
    <n v="2613"/>
    <n v="22310"/>
    <n v="1"/>
    <s v="Yes"/>
    <s v="No"/>
    <n v="25"/>
    <x v="1"/>
    <n v="3"/>
    <n v="80"/>
    <n v="3"/>
    <n v="10"/>
    <n v="2"/>
    <n v="2"/>
    <n v="10"/>
    <n v="7"/>
    <x v="0"/>
    <n v="9"/>
  </r>
  <r>
    <n v="33"/>
    <x v="1"/>
    <s v="Non-Travel"/>
    <n v="750"/>
    <x v="0"/>
    <n v="22"/>
    <n v="2"/>
    <s v="Marketing"/>
    <n v="1"/>
    <n v="160"/>
    <n v="3"/>
    <x v="1"/>
    <n v="95"/>
    <n v="3"/>
    <n v="2"/>
    <s v="Sales Executive"/>
    <n v="2"/>
    <s v="Married"/>
    <x v="9"/>
    <n v="6146"/>
    <n v="15480"/>
    <n v="0"/>
    <s v="Yes"/>
    <s v="No"/>
    <n v="13"/>
    <x v="0"/>
    <n v="1"/>
    <n v="80"/>
    <n v="1"/>
    <n v="8"/>
    <n v="2"/>
    <n v="4"/>
    <n v="7"/>
    <n v="7"/>
    <x v="0"/>
    <n v="7"/>
  </r>
  <r>
    <n v="56"/>
    <x v="0"/>
    <s v="Travel_Rarely"/>
    <n v="441"/>
    <x v="1"/>
    <n v="14"/>
    <n v="4"/>
    <s v="Life Sciences"/>
    <n v="1"/>
    <n v="161"/>
    <n v="2"/>
    <x v="0"/>
    <n v="72"/>
    <n v="3"/>
    <n v="1"/>
    <s v="Research Scientist"/>
    <n v="2"/>
    <s v="Married"/>
    <x v="4"/>
    <n v="4963"/>
    <n v="4510"/>
    <n v="9"/>
    <s v="Yes"/>
    <s v="Yes"/>
    <n v="18"/>
    <x v="0"/>
    <n v="1"/>
    <n v="80"/>
    <n v="3"/>
    <n v="7"/>
    <n v="2"/>
    <n v="3"/>
    <n v="5"/>
    <n v="4"/>
    <x v="5"/>
    <n v="3"/>
  </r>
  <r>
    <n v="51"/>
    <x v="1"/>
    <s v="Travel_Rarely"/>
    <n v="684"/>
    <x v="1"/>
    <n v="6"/>
    <n v="3"/>
    <s v="Life Sciences"/>
    <n v="1"/>
    <n v="162"/>
    <n v="1"/>
    <x v="1"/>
    <n v="51"/>
    <n v="3"/>
    <n v="5"/>
    <s v="Research Director"/>
    <n v="3"/>
    <s v="Single"/>
    <x v="8"/>
    <n v="19537"/>
    <n v="6462"/>
    <n v="7"/>
    <s v="Yes"/>
    <s v="No"/>
    <n v="13"/>
    <x v="0"/>
    <n v="3"/>
    <n v="80"/>
    <n v="0"/>
    <n v="23"/>
    <n v="5"/>
    <n v="3"/>
    <n v="20"/>
    <n v="18"/>
    <x v="9"/>
    <n v="15"/>
  </r>
  <r>
    <n v="31"/>
    <x v="0"/>
    <s v="Travel_Rarely"/>
    <n v="249"/>
    <x v="0"/>
    <n v="6"/>
    <n v="4"/>
    <s v="Life Sciences"/>
    <n v="1"/>
    <n v="163"/>
    <n v="2"/>
    <x v="1"/>
    <n v="76"/>
    <n v="1"/>
    <n v="2"/>
    <s v="Sales Executive"/>
    <n v="3"/>
    <s v="Married"/>
    <x v="9"/>
    <n v="6172"/>
    <n v="20739"/>
    <n v="4"/>
    <s v="Yes"/>
    <s v="Yes"/>
    <n v="18"/>
    <x v="0"/>
    <n v="2"/>
    <n v="80"/>
    <n v="0"/>
    <n v="12"/>
    <n v="3"/>
    <n v="2"/>
    <n v="7"/>
    <n v="7"/>
    <x v="4"/>
    <n v="7"/>
  </r>
  <r>
    <n v="26"/>
    <x v="1"/>
    <s v="Travel_Rarely"/>
    <n v="841"/>
    <x v="1"/>
    <n v="6"/>
    <n v="3"/>
    <s v="Other"/>
    <n v="1"/>
    <n v="164"/>
    <n v="3"/>
    <x v="0"/>
    <n v="46"/>
    <n v="2"/>
    <n v="1"/>
    <s v="Research Scientist"/>
    <n v="2"/>
    <s v="Married"/>
    <x v="1"/>
    <n v="2368"/>
    <n v="23300"/>
    <n v="1"/>
    <s v="Yes"/>
    <s v="No"/>
    <n v="19"/>
    <x v="0"/>
    <n v="3"/>
    <n v="80"/>
    <n v="0"/>
    <n v="5"/>
    <n v="3"/>
    <n v="2"/>
    <n v="5"/>
    <n v="4"/>
    <x v="5"/>
    <n v="3"/>
  </r>
  <r>
    <n v="58"/>
    <x v="0"/>
    <s v="Travel_Rarely"/>
    <n v="147"/>
    <x v="1"/>
    <n v="23"/>
    <n v="4"/>
    <s v="Medical"/>
    <n v="1"/>
    <n v="165"/>
    <n v="4"/>
    <x v="0"/>
    <n v="94"/>
    <n v="3"/>
    <n v="3"/>
    <s v="Healthcare Representative"/>
    <n v="4"/>
    <s v="Married"/>
    <x v="10"/>
    <n v="10312"/>
    <n v="3465"/>
    <n v="1"/>
    <s v="Yes"/>
    <s v="No"/>
    <n v="12"/>
    <x v="0"/>
    <n v="4"/>
    <n v="80"/>
    <n v="1"/>
    <n v="40"/>
    <n v="3"/>
    <n v="2"/>
    <n v="40"/>
    <n v="10"/>
    <x v="9"/>
    <n v="6"/>
  </r>
  <r>
    <n v="19"/>
    <x v="0"/>
    <s v="Travel_Rarely"/>
    <n v="528"/>
    <x v="0"/>
    <n v="22"/>
    <n v="1"/>
    <s v="Marketing"/>
    <n v="1"/>
    <n v="167"/>
    <n v="4"/>
    <x v="1"/>
    <n v="50"/>
    <n v="3"/>
    <n v="1"/>
    <s v="Sales Representative"/>
    <n v="3"/>
    <s v="Single"/>
    <x v="7"/>
    <n v="1675"/>
    <n v="26820"/>
    <n v="1"/>
    <s v="Yes"/>
    <s v="Yes"/>
    <n v="19"/>
    <x v="0"/>
    <n v="4"/>
    <n v="80"/>
    <n v="0"/>
    <n v="0"/>
    <n v="2"/>
    <n v="2"/>
    <n v="0"/>
    <n v="0"/>
    <x v="0"/>
    <n v="0"/>
  </r>
  <r>
    <n v="22"/>
    <x v="1"/>
    <s v="Travel_Rarely"/>
    <n v="594"/>
    <x v="1"/>
    <n v="2"/>
    <n v="1"/>
    <s v="Technical Degree"/>
    <n v="1"/>
    <n v="169"/>
    <n v="3"/>
    <x v="1"/>
    <n v="100"/>
    <n v="3"/>
    <n v="1"/>
    <s v="Laboratory Technician"/>
    <n v="4"/>
    <s v="Married"/>
    <x v="1"/>
    <n v="2523"/>
    <n v="19299"/>
    <n v="0"/>
    <s v="Yes"/>
    <s v="No"/>
    <n v="14"/>
    <x v="0"/>
    <n v="3"/>
    <n v="80"/>
    <n v="1"/>
    <n v="3"/>
    <n v="2"/>
    <n v="3"/>
    <n v="2"/>
    <n v="1"/>
    <x v="3"/>
    <n v="1"/>
  </r>
  <r>
    <n v="49"/>
    <x v="1"/>
    <s v="Travel_Rarely"/>
    <n v="470"/>
    <x v="1"/>
    <n v="20"/>
    <n v="4"/>
    <s v="Medical"/>
    <n v="1"/>
    <n v="170"/>
    <n v="3"/>
    <x v="0"/>
    <n v="96"/>
    <n v="3"/>
    <n v="2"/>
    <s v="Manufacturing Director"/>
    <n v="1"/>
    <s v="Married"/>
    <x v="9"/>
    <n v="6567"/>
    <n v="5549"/>
    <n v="1"/>
    <s v="Yes"/>
    <s v="No"/>
    <n v="14"/>
    <x v="0"/>
    <n v="3"/>
    <n v="80"/>
    <n v="0"/>
    <n v="16"/>
    <n v="2"/>
    <n v="2"/>
    <n v="15"/>
    <n v="11"/>
    <x v="8"/>
    <n v="11"/>
  </r>
  <r>
    <n v="43"/>
    <x v="1"/>
    <s v="Travel_Frequently"/>
    <n v="957"/>
    <x v="1"/>
    <n v="28"/>
    <n v="3"/>
    <s v="Medical"/>
    <n v="1"/>
    <n v="171"/>
    <n v="2"/>
    <x v="0"/>
    <n v="72"/>
    <n v="4"/>
    <n v="1"/>
    <s v="Research Scientist"/>
    <n v="3"/>
    <s v="Single"/>
    <x v="4"/>
    <n v="4739"/>
    <n v="16090"/>
    <n v="4"/>
    <s v="Yes"/>
    <s v="No"/>
    <n v="12"/>
    <x v="0"/>
    <n v="4"/>
    <n v="80"/>
    <n v="0"/>
    <n v="18"/>
    <n v="2"/>
    <n v="3"/>
    <n v="3"/>
    <n v="2"/>
    <x v="1"/>
    <n v="2"/>
  </r>
  <r>
    <n v="50"/>
    <x v="1"/>
    <s v="Travel_Frequently"/>
    <n v="809"/>
    <x v="0"/>
    <n v="12"/>
    <n v="3"/>
    <s v="Marketing"/>
    <n v="1"/>
    <n v="174"/>
    <n v="3"/>
    <x v="0"/>
    <n v="77"/>
    <n v="3"/>
    <n v="3"/>
    <s v="Sales Executive"/>
    <n v="4"/>
    <s v="Single"/>
    <x v="3"/>
    <n v="9208"/>
    <n v="6645"/>
    <n v="4"/>
    <s v="Yes"/>
    <s v="No"/>
    <n v="11"/>
    <x v="0"/>
    <n v="4"/>
    <n v="80"/>
    <n v="0"/>
    <n v="16"/>
    <n v="3"/>
    <n v="3"/>
    <n v="2"/>
    <n v="2"/>
    <x v="3"/>
    <n v="1"/>
  </r>
  <r>
    <n v="31"/>
    <x v="0"/>
    <s v="Travel_Rarely"/>
    <n v="542"/>
    <x v="0"/>
    <n v="20"/>
    <n v="3"/>
    <s v="Life Sciences"/>
    <n v="1"/>
    <n v="175"/>
    <n v="2"/>
    <x v="0"/>
    <n v="71"/>
    <n v="1"/>
    <n v="2"/>
    <s v="Sales Executive"/>
    <n v="3"/>
    <s v="Married"/>
    <x v="4"/>
    <n v="4559"/>
    <n v="24788"/>
    <n v="3"/>
    <s v="Yes"/>
    <s v="Yes"/>
    <n v="11"/>
    <x v="0"/>
    <n v="3"/>
    <n v="80"/>
    <n v="1"/>
    <n v="4"/>
    <n v="2"/>
    <n v="3"/>
    <n v="2"/>
    <n v="2"/>
    <x v="3"/>
    <n v="2"/>
  </r>
  <r>
    <n v="41"/>
    <x v="1"/>
    <s v="Travel_Rarely"/>
    <n v="802"/>
    <x v="0"/>
    <n v="9"/>
    <n v="1"/>
    <s v="Life Sciences"/>
    <n v="1"/>
    <n v="176"/>
    <n v="3"/>
    <x v="1"/>
    <n v="96"/>
    <n v="3"/>
    <n v="3"/>
    <s v="Sales Executive"/>
    <n v="3"/>
    <s v="Divorced"/>
    <x v="12"/>
    <n v="8189"/>
    <n v="21196"/>
    <n v="3"/>
    <s v="Yes"/>
    <s v="Yes"/>
    <n v="13"/>
    <x v="0"/>
    <n v="3"/>
    <n v="80"/>
    <n v="1"/>
    <n v="12"/>
    <n v="2"/>
    <n v="3"/>
    <n v="9"/>
    <n v="7"/>
    <x v="0"/>
    <n v="7"/>
  </r>
  <r>
    <n v="26"/>
    <x v="1"/>
    <s v="Travel_Rarely"/>
    <n v="1355"/>
    <x v="2"/>
    <n v="25"/>
    <n v="1"/>
    <s v="Life Sciences"/>
    <n v="1"/>
    <n v="177"/>
    <n v="3"/>
    <x v="0"/>
    <n v="61"/>
    <n v="3"/>
    <n v="1"/>
    <s v="Human Resources"/>
    <n v="3"/>
    <s v="Married"/>
    <x v="1"/>
    <n v="2942"/>
    <n v="8916"/>
    <n v="1"/>
    <s v="Yes"/>
    <s v="No"/>
    <n v="23"/>
    <x v="1"/>
    <n v="4"/>
    <n v="80"/>
    <n v="1"/>
    <n v="8"/>
    <n v="3"/>
    <n v="3"/>
    <n v="8"/>
    <n v="7"/>
    <x v="8"/>
    <n v="7"/>
  </r>
  <r>
    <n v="36"/>
    <x v="1"/>
    <s v="Travel_Rarely"/>
    <n v="216"/>
    <x v="1"/>
    <n v="6"/>
    <n v="2"/>
    <s v="Medical"/>
    <n v="1"/>
    <n v="178"/>
    <n v="2"/>
    <x v="1"/>
    <n v="84"/>
    <n v="3"/>
    <n v="2"/>
    <s v="Manufacturing Director"/>
    <n v="2"/>
    <s v="Divorced"/>
    <x v="4"/>
    <n v="4941"/>
    <n v="2819"/>
    <n v="6"/>
    <s v="Yes"/>
    <s v="No"/>
    <n v="20"/>
    <x v="1"/>
    <n v="4"/>
    <n v="80"/>
    <n v="2"/>
    <n v="7"/>
    <n v="0"/>
    <n v="3"/>
    <n v="3"/>
    <n v="2"/>
    <x v="0"/>
    <n v="1"/>
  </r>
  <r>
    <n v="51"/>
    <x v="0"/>
    <s v="Travel_Frequently"/>
    <n v="1150"/>
    <x v="1"/>
    <n v="8"/>
    <n v="4"/>
    <s v="Life Sciences"/>
    <n v="1"/>
    <n v="179"/>
    <n v="1"/>
    <x v="1"/>
    <n v="53"/>
    <n v="1"/>
    <n v="3"/>
    <s v="Manufacturing Director"/>
    <n v="4"/>
    <s v="Single"/>
    <x v="10"/>
    <n v="10650"/>
    <n v="25150"/>
    <n v="2"/>
    <s v="Yes"/>
    <s v="No"/>
    <n v="15"/>
    <x v="0"/>
    <n v="4"/>
    <n v="80"/>
    <n v="0"/>
    <n v="18"/>
    <n v="2"/>
    <n v="3"/>
    <n v="4"/>
    <n v="2"/>
    <x v="0"/>
    <n v="3"/>
  </r>
  <r>
    <n v="39"/>
    <x v="1"/>
    <s v="Travel_Rarely"/>
    <n v="1329"/>
    <x v="0"/>
    <n v="4"/>
    <n v="4"/>
    <s v="Life Sciences"/>
    <n v="1"/>
    <n v="182"/>
    <n v="4"/>
    <x v="0"/>
    <n v="47"/>
    <n v="2"/>
    <n v="2"/>
    <s v="Sales Executive"/>
    <n v="3"/>
    <s v="Married"/>
    <x v="0"/>
    <n v="5902"/>
    <n v="14590"/>
    <n v="4"/>
    <s v="Yes"/>
    <s v="No"/>
    <n v="14"/>
    <x v="0"/>
    <n v="3"/>
    <n v="80"/>
    <n v="1"/>
    <n v="17"/>
    <n v="1"/>
    <n v="4"/>
    <n v="15"/>
    <n v="11"/>
    <x v="8"/>
    <n v="9"/>
  </r>
  <r>
    <n v="25"/>
    <x v="1"/>
    <s v="Travel_Rarely"/>
    <n v="959"/>
    <x v="0"/>
    <n v="28"/>
    <n v="3"/>
    <s v="Life Sciences"/>
    <n v="1"/>
    <n v="183"/>
    <n v="1"/>
    <x v="1"/>
    <n v="41"/>
    <n v="2"/>
    <n v="2"/>
    <s v="Sales Executive"/>
    <n v="3"/>
    <s v="Married"/>
    <x v="12"/>
    <n v="8639"/>
    <n v="24835"/>
    <n v="2"/>
    <s v="Yes"/>
    <s v="No"/>
    <n v="18"/>
    <x v="0"/>
    <n v="4"/>
    <n v="80"/>
    <n v="0"/>
    <n v="6"/>
    <n v="3"/>
    <n v="3"/>
    <n v="2"/>
    <n v="2"/>
    <x v="3"/>
    <n v="2"/>
  </r>
  <r>
    <n v="30"/>
    <x v="1"/>
    <s v="Travel_Rarely"/>
    <n v="1240"/>
    <x v="2"/>
    <n v="9"/>
    <n v="3"/>
    <s v="Human Resources"/>
    <n v="1"/>
    <n v="184"/>
    <n v="3"/>
    <x v="1"/>
    <n v="48"/>
    <n v="3"/>
    <n v="2"/>
    <s v="Human Resources"/>
    <n v="4"/>
    <s v="Married"/>
    <x v="9"/>
    <n v="6347"/>
    <n v="13982"/>
    <n v="0"/>
    <s v="Yes"/>
    <s v="Yes"/>
    <n v="19"/>
    <x v="0"/>
    <n v="4"/>
    <n v="80"/>
    <n v="0"/>
    <n v="12"/>
    <n v="2"/>
    <n v="1"/>
    <n v="11"/>
    <n v="9"/>
    <x v="5"/>
    <n v="7"/>
  </r>
  <r>
    <n v="32"/>
    <x v="0"/>
    <s v="Travel_Rarely"/>
    <n v="1033"/>
    <x v="1"/>
    <n v="9"/>
    <n v="3"/>
    <s v="Medical"/>
    <n v="1"/>
    <n v="190"/>
    <n v="1"/>
    <x v="0"/>
    <n v="41"/>
    <n v="3"/>
    <n v="1"/>
    <s v="Laboratory Technician"/>
    <n v="1"/>
    <s v="Single"/>
    <x v="4"/>
    <n v="4200"/>
    <n v="10224"/>
    <n v="7"/>
    <s v="Yes"/>
    <s v="No"/>
    <n v="22"/>
    <x v="1"/>
    <n v="1"/>
    <n v="80"/>
    <n v="0"/>
    <n v="10"/>
    <n v="2"/>
    <n v="4"/>
    <n v="5"/>
    <n v="4"/>
    <x v="0"/>
    <n v="4"/>
  </r>
  <r>
    <n v="45"/>
    <x v="1"/>
    <s v="Travel_Rarely"/>
    <n v="1316"/>
    <x v="1"/>
    <n v="29"/>
    <n v="3"/>
    <s v="Medical"/>
    <n v="1"/>
    <n v="192"/>
    <n v="3"/>
    <x v="1"/>
    <n v="83"/>
    <n v="3"/>
    <n v="1"/>
    <s v="Research Scientist"/>
    <n v="4"/>
    <s v="Single"/>
    <x v="2"/>
    <n v="3452"/>
    <n v="9752"/>
    <n v="5"/>
    <s v="Yes"/>
    <s v="No"/>
    <n v="13"/>
    <x v="0"/>
    <n v="2"/>
    <n v="80"/>
    <n v="0"/>
    <n v="9"/>
    <n v="2"/>
    <n v="2"/>
    <n v="6"/>
    <n v="5"/>
    <x v="0"/>
    <n v="3"/>
  </r>
  <r>
    <n v="38"/>
    <x v="1"/>
    <s v="Travel_Rarely"/>
    <n v="364"/>
    <x v="1"/>
    <n v="3"/>
    <n v="5"/>
    <s v="Technical Degree"/>
    <n v="1"/>
    <n v="193"/>
    <n v="4"/>
    <x v="0"/>
    <n v="32"/>
    <n v="3"/>
    <n v="2"/>
    <s v="Research Scientist"/>
    <n v="3"/>
    <s v="Single"/>
    <x v="4"/>
    <n v="4317"/>
    <n v="2302"/>
    <n v="3"/>
    <s v="Yes"/>
    <s v="Yes"/>
    <n v="20"/>
    <x v="1"/>
    <n v="2"/>
    <n v="80"/>
    <n v="0"/>
    <n v="19"/>
    <n v="2"/>
    <n v="3"/>
    <n v="3"/>
    <n v="2"/>
    <x v="3"/>
    <n v="2"/>
  </r>
  <r>
    <n v="30"/>
    <x v="1"/>
    <s v="Travel_Rarely"/>
    <n v="438"/>
    <x v="1"/>
    <n v="18"/>
    <n v="3"/>
    <s v="Life Sciences"/>
    <n v="1"/>
    <n v="194"/>
    <n v="1"/>
    <x v="0"/>
    <n v="75"/>
    <n v="3"/>
    <n v="1"/>
    <s v="Research Scientist"/>
    <n v="3"/>
    <s v="Single"/>
    <x v="1"/>
    <n v="2632"/>
    <n v="23910"/>
    <n v="1"/>
    <s v="Yes"/>
    <s v="No"/>
    <n v="14"/>
    <x v="0"/>
    <n v="3"/>
    <n v="80"/>
    <n v="0"/>
    <n v="5"/>
    <n v="4"/>
    <n v="2"/>
    <n v="5"/>
    <n v="4"/>
    <x v="0"/>
    <n v="4"/>
  </r>
  <r>
    <n v="32"/>
    <x v="1"/>
    <s v="Travel_Frequently"/>
    <n v="689"/>
    <x v="0"/>
    <n v="9"/>
    <n v="2"/>
    <s v="Medical"/>
    <n v="1"/>
    <n v="195"/>
    <n v="4"/>
    <x v="1"/>
    <n v="35"/>
    <n v="1"/>
    <n v="2"/>
    <s v="Sales Executive"/>
    <n v="4"/>
    <s v="Divorced"/>
    <x v="4"/>
    <n v="4668"/>
    <n v="22812"/>
    <n v="0"/>
    <s v="Yes"/>
    <s v="No"/>
    <n v="17"/>
    <x v="0"/>
    <n v="4"/>
    <n v="80"/>
    <n v="3"/>
    <n v="9"/>
    <n v="2"/>
    <n v="4"/>
    <n v="8"/>
    <n v="7"/>
    <x v="0"/>
    <n v="7"/>
  </r>
  <r>
    <n v="30"/>
    <x v="1"/>
    <s v="Travel_Rarely"/>
    <n v="201"/>
    <x v="1"/>
    <n v="5"/>
    <n v="3"/>
    <s v="Technical Degree"/>
    <n v="1"/>
    <n v="197"/>
    <n v="4"/>
    <x v="0"/>
    <n v="84"/>
    <n v="3"/>
    <n v="1"/>
    <s v="Research Scientist"/>
    <n v="1"/>
    <s v="Divorced"/>
    <x v="2"/>
    <n v="3204"/>
    <n v="10415"/>
    <n v="5"/>
    <s v="Yes"/>
    <s v="No"/>
    <n v="14"/>
    <x v="0"/>
    <n v="4"/>
    <n v="80"/>
    <n v="1"/>
    <n v="8"/>
    <n v="3"/>
    <n v="3"/>
    <n v="3"/>
    <n v="2"/>
    <x v="3"/>
    <n v="2"/>
  </r>
  <r>
    <n v="30"/>
    <x v="1"/>
    <s v="Travel_Rarely"/>
    <n v="1427"/>
    <x v="1"/>
    <n v="2"/>
    <n v="1"/>
    <s v="Medical"/>
    <n v="1"/>
    <n v="198"/>
    <n v="2"/>
    <x v="1"/>
    <n v="35"/>
    <n v="2"/>
    <n v="1"/>
    <s v="Laboratory Technician"/>
    <n v="4"/>
    <s v="Single"/>
    <x v="1"/>
    <n v="2720"/>
    <n v="11162"/>
    <n v="0"/>
    <s v="Yes"/>
    <s v="No"/>
    <n v="13"/>
    <x v="0"/>
    <n v="4"/>
    <n v="80"/>
    <n v="0"/>
    <n v="6"/>
    <n v="3"/>
    <n v="3"/>
    <n v="5"/>
    <n v="3"/>
    <x v="1"/>
    <n v="2"/>
  </r>
  <r>
    <n v="41"/>
    <x v="1"/>
    <s v="Travel_Frequently"/>
    <n v="857"/>
    <x v="1"/>
    <n v="10"/>
    <n v="3"/>
    <s v="Life Sciences"/>
    <n v="1"/>
    <n v="199"/>
    <n v="4"/>
    <x v="1"/>
    <n v="91"/>
    <n v="2"/>
    <n v="4"/>
    <s v="Manager"/>
    <n v="1"/>
    <s v="Divorced"/>
    <x v="16"/>
    <n v="17181"/>
    <n v="12888"/>
    <n v="4"/>
    <s v="Yes"/>
    <s v="No"/>
    <n v="13"/>
    <x v="0"/>
    <n v="2"/>
    <n v="80"/>
    <n v="1"/>
    <n v="21"/>
    <n v="2"/>
    <n v="2"/>
    <n v="7"/>
    <n v="6"/>
    <x v="4"/>
    <n v="7"/>
  </r>
  <r>
    <n v="41"/>
    <x v="1"/>
    <s v="Travel_Rarely"/>
    <n v="933"/>
    <x v="1"/>
    <n v="9"/>
    <n v="4"/>
    <s v="Life Sciences"/>
    <n v="1"/>
    <n v="200"/>
    <n v="3"/>
    <x v="1"/>
    <n v="94"/>
    <n v="3"/>
    <n v="1"/>
    <s v="Laboratory Technician"/>
    <n v="1"/>
    <s v="Married"/>
    <x v="1"/>
    <n v="2238"/>
    <n v="6961"/>
    <n v="2"/>
    <s v="Yes"/>
    <s v="No"/>
    <n v="21"/>
    <x v="1"/>
    <n v="4"/>
    <n v="80"/>
    <n v="1"/>
    <n v="7"/>
    <n v="2"/>
    <n v="3"/>
    <n v="5"/>
    <n v="0"/>
    <x v="1"/>
    <n v="4"/>
  </r>
  <r>
    <n v="19"/>
    <x v="1"/>
    <s v="Travel_Rarely"/>
    <n v="1181"/>
    <x v="1"/>
    <n v="3"/>
    <n v="1"/>
    <s v="Medical"/>
    <n v="1"/>
    <n v="201"/>
    <n v="2"/>
    <x v="0"/>
    <n v="79"/>
    <n v="3"/>
    <n v="1"/>
    <s v="Laboratory Technician"/>
    <n v="2"/>
    <s v="Single"/>
    <x v="7"/>
    <n v="1483"/>
    <n v="16102"/>
    <n v="1"/>
    <s v="Yes"/>
    <s v="No"/>
    <n v="14"/>
    <x v="0"/>
    <n v="4"/>
    <n v="80"/>
    <n v="0"/>
    <n v="1"/>
    <n v="3"/>
    <n v="3"/>
    <n v="1"/>
    <n v="0"/>
    <x v="0"/>
    <n v="0"/>
  </r>
  <r>
    <n v="40"/>
    <x v="1"/>
    <s v="Travel_Frequently"/>
    <n v="1395"/>
    <x v="1"/>
    <n v="26"/>
    <n v="3"/>
    <s v="Medical"/>
    <n v="1"/>
    <n v="202"/>
    <n v="2"/>
    <x v="0"/>
    <n v="54"/>
    <n v="3"/>
    <n v="2"/>
    <s v="Research Scientist"/>
    <n v="2"/>
    <s v="Divorced"/>
    <x v="0"/>
    <n v="5605"/>
    <n v="8504"/>
    <n v="1"/>
    <s v="Yes"/>
    <s v="No"/>
    <n v="11"/>
    <x v="0"/>
    <n v="1"/>
    <n v="80"/>
    <n v="1"/>
    <n v="20"/>
    <n v="2"/>
    <n v="3"/>
    <n v="20"/>
    <n v="7"/>
    <x v="3"/>
    <n v="13"/>
  </r>
  <r>
    <n v="35"/>
    <x v="1"/>
    <s v="Travel_Rarely"/>
    <n v="662"/>
    <x v="0"/>
    <n v="1"/>
    <n v="5"/>
    <s v="Marketing"/>
    <n v="1"/>
    <n v="204"/>
    <n v="3"/>
    <x v="1"/>
    <n v="94"/>
    <n v="3"/>
    <n v="3"/>
    <s v="Sales Executive"/>
    <n v="2"/>
    <s v="Married"/>
    <x v="14"/>
    <n v="7295"/>
    <n v="11439"/>
    <n v="1"/>
    <s v="Yes"/>
    <s v="No"/>
    <n v="13"/>
    <x v="0"/>
    <n v="1"/>
    <n v="80"/>
    <n v="2"/>
    <n v="10"/>
    <n v="3"/>
    <n v="3"/>
    <n v="10"/>
    <n v="8"/>
    <x v="0"/>
    <n v="6"/>
  </r>
  <r>
    <n v="53"/>
    <x v="1"/>
    <s v="Travel_Rarely"/>
    <n v="1436"/>
    <x v="0"/>
    <n v="6"/>
    <n v="2"/>
    <s v="Marketing"/>
    <n v="1"/>
    <n v="205"/>
    <n v="2"/>
    <x v="1"/>
    <n v="34"/>
    <n v="3"/>
    <n v="2"/>
    <s v="Sales Representative"/>
    <n v="3"/>
    <s v="Married"/>
    <x v="1"/>
    <n v="2306"/>
    <n v="16047"/>
    <n v="2"/>
    <s v="Yes"/>
    <s v="Yes"/>
    <n v="20"/>
    <x v="1"/>
    <n v="4"/>
    <n v="80"/>
    <n v="1"/>
    <n v="13"/>
    <n v="3"/>
    <n v="1"/>
    <n v="7"/>
    <n v="7"/>
    <x v="5"/>
    <n v="5"/>
  </r>
  <r>
    <n v="45"/>
    <x v="1"/>
    <s v="Travel_Rarely"/>
    <n v="194"/>
    <x v="1"/>
    <n v="9"/>
    <n v="3"/>
    <s v="Life Sciences"/>
    <n v="1"/>
    <n v="206"/>
    <n v="2"/>
    <x v="1"/>
    <n v="60"/>
    <n v="3"/>
    <n v="2"/>
    <s v="Laboratory Technician"/>
    <n v="2"/>
    <s v="Divorced"/>
    <x v="1"/>
    <n v="2348"/>
    <n v="10901"/>
    <n v="8"/>
    <s v="Yes"/>
    <s v="No"/>
    <n v="18"/>
    <x v="0"/>
    <n v="3"/>
    <n v="80"/>
    <n v="1"/>
    <n v="20"/>
    <n v="2"/>
    <n v="1"/>
    <n v="17"/>
    <n v="9"/>
    <x v="0"/>
    <n v="15"/>
  </r>
  <r>
    <n v="32"/>
    <x v="1"/>
    <s v="Travel_Frequently"/>
    <n v="967"/>
    <x v="0"/>
    <n v="8"/>
    <n v="3"/>
    <s v="Marketing"/>
    <n v="1"/>
    <n v="207"/>
    <n v="2"/>
    <x v="0"/>
    <n v="43"/>
    <n v="3"/>
    <n v="3"/>
    <s v="Sales Executive"/>
    <n v="4"/>
    <s v="Single"/>
    <x v="12"/>
    <n v="8998"/>
    <n v="15589"/>
    <n v="1"/>
    <s v="Yes"/>
    <s v="No"/>
    <n v="14"/>
    <x v="0"/>
    <n v="4"/>
    <n v="80"/>
    <n v="0"/>
    <n v="9"/>
    <n v="2"/>
    <n v="3"/>
    <n v="9"/>
    <n v="8"/>
    <x v="2"/>
    <n v="7"/>
  </r>
  <r>
    <n v="29"/>
    <x v="1"/>
    <s v="Non-Travel"/>
    <n v="1496"/>
    <x v="1"/>
    <n v="1"/>
    <n v="1"/>
    <s v="Technical Degree"/>
    <n v="1"/>
    <n v="208"/>
    <n v="4"/>
    <x v="1"/>
    <n v="41"/>
    <n v="3"/>
    <n v="2"/>
    <s v="Manufacturing Director"/>
    <n v="3"/>
    <s v="Married"/>
    <x v="4"/>
    <n v="4319"/>
    <n v="26283"/>
    <n v="1"/>
    <s v="Yes"/>
    <s v="No"/>
    <n v="13"/>
    <x v="0"/>
    <n v="1"/>
    <n v="80"/>
    <n v="1"/>
    <n v="10"/>
    <n v="1"/>
    <n v="3"/>
    <n v="10"/>
    <n v="7"/>
    <x v="0"/>
    <n v="9"/>
  </r>
  <r>
    <n v="51"/>
    <x v="1"/>
    <s v="Travel_Rarely"/>
    <n v="1169"/>
    <x v="1"/>
    <n v="7"/>
    <n v="4"/>
    <s v="Medical"/>
    <n v="1"/>
    <n v="211"/>
    <n v="2"/>
    <x v="1"/>
    <n v="34"/>
    <n v="2"/>
    <n v="2"/>
    <s v="Manufacturing Director"/>
    <n v="3"/>
    <s v="Married"/>
    <x v="9"/>
    <n v="6132"/>
    <n v="13983"/>
    <n v="2"/>
    <s v="Yes"/>
    <s v="No"/>
    <n v="17"/>
    <x v="0"/>
    <n v="3"/>
    <n v="80"/>
    <n v="0"/>
    <n v="10"/>
    <n v="2"/>
    <n v="3"/>
    <n v="1"/>
    <n v="0"/>
    <x v="0"/>
    <n v="0"/>
  </r>
  <r>
    <n v="58"/>
    <x v="1"/>
    <s v="Travel_Rarely"/>
    <n v="1145"/>
    <x v="1"/>
    <n v="9"/>
    <n v="3"/>
    <s v="Medical"/>
    <n v="1"/>
    <n v="214"/>
    <n v="2"/>
    <x v="0"/>
    <n v="75"/>
    <n v="2"/>
    <n v="1"/>
    <s v="Research Scientist"/>
    <n v="2"/>
    <s v="Married"/>
    <x v="2"/>
    <n v="3346"/>
    <n v="11873"/>
    <n v="4"/>
    <s v="Yes"/>
    <s v="Yes"/>
    <n v="20"/>
    <x v="1"/>
    <n v="2"/>
    <n v="80"/>
    <n v="1"/>
    <n v="9"/>
    <n v="3"/>
    <n v="2"/>
    <n v="1"/>
    <n v="0"/>
    <x v="0"/>
    <n v="0"/>
  </r>
  <r>
    <n v="40"/>
    <x v="1"/>
    <s v="Travel_Rarely"/>
    <n v="630"/>
    <x v="0"/>
    <n v="4"/>
    <n v="4"/>
    <s v="Marketing"/>
    <n v="1"/>
    <n v="215"/>
    <n v="3"/>
    <x v="1"/>
    <n v="67"/>
    <n v="2"/>
    <n v="3"/>
    <s v="Sales Executive"/>
    <n v="4"/>
    <s v="Married"/>
    <x v="10"/>
    <n v="10855"/>
    <n v="8552"/>
    <n v="7"/>
    <s v="Yes"/>
    <s v="No"/>
    <n v="11"/>
    <x v="0"/>
    <n v="1"/>
    <n v="80"/>
    <n v="1"/>
    <n v="15"/>
    <n v="2"/>
    <n v="2"/>
    <n v="12"/>
    <n v="11"/>
    <x v="3"/>
    <n v="11"/>
  </r>
  <r>
    <n v="34"/>
    <x v="1"/>
    <s v="Travel_Frequently"/>
    <n v="303"/>
    <x v="0"/>
    <n v="2"/>
    <n v="4"/>
    <s v="Marketing"/>
    <n v="1"/>
    <n v="216"/>
    <n v="3"/>
    <x v="0"/>
    <n v="75"/>
    <n v="3"/>
    <n v="1"/>
    <s v="Sales Representative"/>
    <n v="3"/>
    <s v="Married"/>
    <x v="1"/>
    <n v="2231"/>
    <n v="11314"/>
    <n v="6"/>
    <s v="Yes"/>
    <s v="No"/>
    <n v="18"/>
    <x v="0"/>
    <n v="4"/>
    <n v="80"/>
    <n v="1"/>
    <n v="6"/>
    <n v="3"/>
    <n v="3"/>
    <n v="4"/>
    <n v="3"/>
    <x v="1"/>
    <n v="2"/>
  </r>
  <r>
    <n v="22"/>
    <x v="1"/>
    <s v="Travel_Rarely"/>
    <n v="1256"/>
    <x v="1"/>
    <n v="19"/>
    <n v="1"/>
    <s v="Medical"/>
    <n v="1"/>
    <n v="217"/>
    <n v="3"/>
    <x v="1"/>
    <n v="80"/>
    <n v="3"/>
    <n v="1"/>
    <s v="Research Scientist"/>
    <n v="4"/>
    <s v="Married"/>
    <x v="1"/>
    <n v="2323"/>
    <n v="11992"/>
    <n v="1"/>
    <s v="Yes"/>
    <s v="No"/>
    <n v="24"/>
    <x v="1"/>
    <n v="1"/>
    <n v="80"/>
    <n v="2"/>
    <n v="2"/>
    <n v="6"/>
    <n v="3"/>
    <n v="2"/>
    <n v="2"/>
    <x v="3"/>
    <n v="2"/>
  </r>
  <r>
    <n v="27"/>
    <x v="1"/>
    <s v="Non-Travel"/>
    <n v="691"/>
    <x v="1"/>
    <n v="9"/>
    <n v="3"/>
    <s v="Medical"/>
    <n v="1"/>
    <n v="218"/>
    <n v="4"/>
    <x v="1"/>
    <n v="57"/>
    <n v="3"/>
    <n v="1"/>
    <s v="Research Scientist"/>
    <n v="2"/>
    <s v="Divorced"/>
    <x v="1"/>
    <n v="2024"/>
    <n v="5970"/>
    <n v="6"/>
    <s v="Yes"/>
    <s v="No"/>
    <n v="18"/>
    <x v="0"/>
    <n v="4"/>
    <n v="80"/>
    <n v="1"/>
    <n v="6"/>
    <n v="1"/>
    <n v="1"/>
    <n v="2"/>
    <n v="2"/>
    <x v="3"/>
    <n v="2"/>
  </r>
  <r>
    <n v="28"/>
    <x v="1"/>
    <s v="Travel_Rarely"/>
    <n v="440"/>
    <x v="1"/>
    <n v="21"/>
    <n v="3"/>
    <s v="Medical"/>
    <n v="1"/>
    <n v="221"/>
    <n v="3"/>
    <x v="1"/>
    <n v="42"/>
    <n v="3"/>
    <n v="1"/>
    <s v="Research Scientist"/>
    <n v="4"/>
    <s v="Married"/>
    <x v="1"/>
    <n v="2713"/>
    <n v="6672"/>
    <n v="1"/>
    <s v="Yes"/>
    <s v="No"/>
    <n v="11"/>
    <x v="0"/>
    <n v="3"/>
    <n v="80"/>
    <n v="1"/>
    <n v="5"/>
    <n v="2"/>
    <n v="1"/>
    <n v="5"/>
    <n v="2"/>
    <x v="0"/>
    <n v="2"/>
  </r>
  <r>
    <n v="57"/>
    <x v="1"/>
    <s v="Travel_Rarely"/>
    <n v="334"/>
    <x v="1"/>
    <n v="24"/>
    <n v="2"/>
    <s v="Life Sciences"/>
    <n v="1"/>
    <n v="223"/>
    <n v="3"/>
    <x v="1"/>
    <n v="83"/>
    <n v="4"/>
    <n v="3"/>
    <s v="Healthcare Representative"/>
    <n v="4"/>
    <s v="Divorced"/>
    <x v="3"/>
    <n v="9439"/>
    <n v="23402"/>
    <n v="3"/>
    <s v="Yes"/>
    <s v="Yes"/>
    <n v="16"/>
    <x v="0"/>
    <n v="2"/>
    <n v="80"/>
    <n v="1"/>
    <n v="12"/>
    <n v="2"/>
    <n v="1"/>
    <n v="5"/>
    <n v="3"/>
    <x v="1"/>
    <n v="4"/>
  </r>
  <r>
    <n v="27"/>
    <x v="1"/>
    <s v="Non-Travel"/>
    <n v="1450"/>
    <x v="1"/>
    <n v="3"/>
    <n v="3"/>
    <s v="Medical"/>
    <n v="1"/>
    <n v="224"/>
    <n v="3"/>
    <x v="1"/>
    <n v="79"/>
    <n v="2"/>
    <n v="1"/>
    <s v="Research Scientist"/>
    <n v="3"/>
    <s v="Divorced"/>
    <x v="1"/>
    <n v="2566"/>
    <n v="25326"/>
    <n v="1"/>
    <s v="Yes"/>
    <s v="Yes"/>
    <n v="15"/>
    <x v="0"/>
    <n v="4"/>
    <n v="80"/>
    <n v="1"/>
    <n v="1"/>
    <n v="2"/>
    <n v="2"/>
    <n v="1"/>
    <n v="1"/>
    <x v="0"/>
    <n v="1"/>
  </r>
  <r>
    <n v="50"/>
    <x v="1"/>
    <s v="Travel_Rarely"/>
    <n v="1452"/>
    <x v="1"/>
    <n v="11"/>
    <n v="3"/>
    <s v="Life Sciences"/>
    <n v="1"/>
    <n v="226"/>
    <n v="3"/>
    <x v="0"/>
    <n v="53"/>
    <n v="3"/>
    <n v="5"/>
    <s v="Manager"/>
    <n v="2"/>
    <s v="Single"/>
    <x v="8"/>
    <n v="19926"/>
    <n v="17053"/>
    <n v="3"/>
    <s v="Yes"/>
    <s v="No"/>
    <n v="15"/>
    <x v="0"/>
    <n v="2"/>
    <n v="80"/>
    <n v="0"/>
    <n v="21"/>
    <n v="5"/>
    <n v="3"/>
    <n v="5"/>
    <n v="4"/>
    <x v="5"/>
    <n v="4"/>
  </r>
  <r>
    <n v="41"/>
    <x v="1"/>
    <s v="Travel_Rarely"/>
    <n v="465"/>
    <x v="1"/>
    <n v="14"/>
    <n v="3"/>
    <s v="Life Sciences"/>
    <n v="1"/>
    <n v="227"/>
    <n v="1"/>
    <x v="1"/>
    <n v="56"/>
    <n v="3"/>
    <n v="1"/>
    <s v="Research Scientist"/>
    <n v="3"/>
    <s v="Divorced"/>
    <x v="1"/>
    <n v="2451"/>
    <n v="4609"/>
    <n v="4"/>
    <s v="Yes"/>
    <s v="No"/>
    <n v="12"/>
    <x v="0"/>
    <n v="1"/>
    <n v="80"/>
    <n v="1"/>
    <n v="13"/>
    <n v="2"/>
    <n v="3"/>
    <n v="9"/>
    <n v="8"/>
    <x v="1"/>
    <n v="8"/>
  </r>
  <r>
    <n v="30"/>
    <x v="1"/>
    <s v="Travel_Rarely"/>
    <n v="1339"/>
    <x v="0"/>
    <n v="5"/>
    <n v="3"/>
    <s v="Life Sciences"/>
    <n v="1"/>
    <n v="228"/>
    <n v="2"/>
    <x v="0"/>
    <n v="41"/>
    <n v="3"/>
    <n v="3"/>
    <s v="Sales Executive"/>
    <n v="4"/>
    <s v="Married"/>
    <x v="3"/>
    <n v="9419"/>
    <n v="8053"/>
    <n v="2"/>
    <s v="Yes"/>
    <s v="No"/>
    <n v="12"/>
    <x v="0"/>
    <n v="3"/>
    <n v="80"/>
    <n v="1"/>
    <n v="12"/>
    <n v="2"/>
    <n v="3"/>
    <n v="10"/>
    <n v="9"/>
    <x v="4"/>
    <n v="4"/>
  </r>
  <r>
    <n v="38"/>
    <x v="1"/>
    <s v="Travel_Rarely"/>
    <n v="702"/>
    <x v="0"/>
    <n v="1"/>
    <n v="4"/>
    <s v="Life Sciences"/>
    <n v="1"/>
    <n v="230"/>
    <n v="1"/>
    <x v="0"/>
    <n v="59"/>
    <n v="2"/>
    <n v="2"/>
    <s v="Sales Executive"/>
    <n v="4"/>
    <s v="Single"/>
    <x v="12"/>
    <n v="8686"/>
    <n v="12930"/>
    <n v="4"/>
    <s v="Yes"/>
    <s v="No"/>
    <n v="22"/>
    <x v="1"/>
    <n v="3"/>
    <n v="80"/>
    <n v="0"/>
    <n v="12"/>
    <n v="2"/>
    <n v="4"/>
    <n v="8"/>
    <n v="3"/>
    <x v="0"/>
    <n v="7"/>
  </r>
  <r>
    <n v="32"/>
    <x v="1"/>
    <s v="Travel_Rarely"/>
    <n v="120"/>
    <x v="1"/>
    <n v="6"/>
    <n v="5"/>
    <s v="Life Sciences"/>
    <n v="1"/>
    <n v="231"/>
    <n v="3"/>
    <x v="1"/>
    <n v="43"/>
    <n v="3"/>
    <n v="1"/>
    <s v="Research Scientist"/>
    <n v="3"/>
    <s v="Single"/>
    <x v="2"/>
    <n v="3038"/>
    <n v="12430"/>
    <n v="3"/>
    <s v="Yes"/>
    <s v="No"/>
    <n v="20"/>
    <x v="1"/>
    <n v="1"/>
    <n v="80"/>
    <n v="0"/>
    <n v="8"/>
    <n v="2"/>
    <n v="3"/>
    <n v="5"/>
    <n v="4"/>
    <x v="1"/>
    <n v="4"/>
  </r>
  <r>
    <n v="27"/>
    <x v="1"/>
    <s v="Travel_Rarely"/>
    <n v="1157"/>
    <x v="1"/>
    <n v="17"/>
    <n v="3"/>
    <s v="Technical Degree"/>
    <n v="1"/>
    <n v="233"/>
    <n v="3"/>
    <x v="1"/>
    <n v="51"/>
    <n v="3"/>
    <n v="1"/>
    <s v="Research Scientist"/>
    <n v="2"/>
    <s v="Married"/>
    <x v="2"/>
    <n v="3058"/>
    <n v="13364"/>
    <n v="0"/>
    <s v="Yes"/>
    <s v="Yes"/>
    <n v="16"/>
    <x v="0"/>
    <n v="4"/>
    <n v="80"/>
    <n v="1"/>
    <n v="6"/>
    <n v="3"/>
    <n v="2"/>
    <n v="5"/>
    <n v="2"/>
    <x v="1"/>
    <n v="1"/>
  </r>
  <r>
    <n v="19"/>
    <x v="0"/>
    <s v="Travel_Frequently"/>
    <n v="602"/>
    <x v="0"/>
    <n v="1"/>
    <n v="1"/>
    <s v="Technical Degree"/>
    <n v="1"/>
    <n v="235"/>
    <n v="3"/>
    <x v="0"/>
    <n v="100"/>
    <n v="1"/>
    <n v="1"/>
    <s v="Sales Representative"/>
    <n v="1"/>
    <s v="Single"/>
    <x v="1"/>
    <n v="2325"/>
    <n v="20989"/>
    <n v="0"/>
    <s v="Yes"/>
    <s v="No"/>
    <n v="21"/>
    <x v="1"/>
    <n v="1"/>
    <n v="80"/>
    <n v="0"/>
    <n v="1"/>
    <n v="5"/>
    <n v="4"/>
    <n v="0"/>
    <n v="0"/>
    <x v="0"/>
    <n v="0"/>
  </r>
  <r>
    <n v="36"/>
    <x v="1"/>
    <s v="Travel_Frequently"/>
    <n v="1480"/>
    <x v="1"/>
    <n v="3"/>
    <n v="2"/>
    <s v="Medical"/>
    <n v="1"/>
    <n v="238"/>
    <n v="4"/>
    <x v="1"/>
    <n v="30"/>
    <n v="3"/>
    <n v="1"/>
    <s v="Laboratory Technician"/>
    <n v="2"/>
    <s v="Single"/>
    <x v="1"/>
    <n v="2088"/>
    <n v="15062"/>
    <n v="4"/>
    <s v="Yes"/>
    <s v="No"/>
    <n v="12"/>
    <x v="0"/>
    <n v="3"/>
    <n v="80"/>
    <n v="0"/>
    <n v="13"/>
    <n v="3"/>
    <n v="2"/>
    <n v="8"/>
    <n v="7"/>
    <x v="4"/>
    <n v="2"/>
  </r>
  <r>
    <n v="30"/>
    <x v="1"/>
    <s v="Non-Travel"/>
    <n v="111"/>
    <x v="1"/>
    <n v="9"/>
    <n v="3"/>
    <s v="Medical"/>
    <n v="1"/>
    <n v="239"/>
    <n v="3"/>
    <x v="1"/>
    <n v="66"/>
    <n v="3"/>
    <n v="2"/>
    <s v="Laboratory Technician"/>
    <n v="1"/>
    <s v="Divorced"/>
    <x v="2"/>
    <n v="3072"/>
    <n v="11012"/>
    <n v="1"/>
    <s v="Yes"/>
    <s v="No"/>
    <n v="11"/>
    <x v="0"/>
    <n v="3"/>
    <n v="80"/>
    <n v="2"/>
    <n v="12"/>
    <n v="4"/>
    <n v="3"/>
    <n v="12"/>
    <n v="9"/>
    <x v="7"/>
    <n v="10"/>
  </r>
  <r>
    <n v="45"/>
    <x v="1"/>
    <s v="Travel_Rarely"/>
    <n v="1268"/>
    <x v="0"/>
    <n v="4"/>
    <n v="2"/>
    <s v="Life Sciences"/>
    <n v="1"/>
    <n v="240"/>
    <n v="3"/>
    <x v="0"/>
    <n v="30"/>
    <n v="3"/>
    <n v="2"/>
    <s v="Sales Executive"/>
    <n v="1"/>
    <s v="Divorced"/>
    <x v="0"/>
    <n v="5006"/>
    <n v="6319"/>
    <n v="4"/>
    <s v="Yes"/>
    <s v="Yes"/>
    <n v="11"/>
    <x v="0"/>
    <n v="1"/>
    <n v="80"/>
    <n v="1"/>
    <n v="9"/>
    <n v="3"/>
    <n v="4"/>
    <n v="5"/>
    <n v="4"/>
    <x v="0"/>
    <n v="3"/>
  </r>
  <r>
    <n v="56"/>
    <x v="1"/>
    <s v="Travel_Rarely"/>
    <n v="713"/>
    <x v="1"/>
    <n v="8"/>
    <n v="3"/>
    <s v="Life Sciences"/>
    <n v="1"/>
    <n v="241"/>
    <n v="3"/>
    <x v="0"/>
    <n v="67"/>
    <n v="3"/>
    <n v="1"/>
    <s v="Research Scientist"/>
    <n v="1"/>
    <s v="Divorced"/>
    <x v="4"/>
    <n v="4257"/>
    <n v="13939"/>
    <n v="4"/>
    <s v="Yes"/>
    <s v="Yes"/>
    <n v="18"/>
    <x v="0"/>
    <n v="3"/>
    <n v="80"/>
    <n v="1"/>
    <n v="19"/>
    <n v="3"/>
    <n v="3"/>
    <n v="2"/>
    <n v="2"/>
    <x v="3"/>
    <n v="2"/>
  </r>
  <r>
    <n v="33"/>
    <x v="1"/>
    <s v="Travel_Rarely"/>
    <n v="134"/>
    <x v="1"/>
    <n v="2"/>
    <n v="3"/>
    <s v="Life Sciences"/>
    <n v="1"/>
    <n v="242"/>
    <n v="3"/>
    <x v="1"/>
    <n v="90"/>
    <n v="3"/>
    <n v="1"/>
    <s v="Research Scientist"/>
    <n v="4"/>
    <s v="Single"/>
    <x v="1"/>
    <n v="2500"/>
    <n v="10515"/>
    <n v="0"/>
    <s v="Yes"/>
    <s v="No"/>
    <n v="14"/>
    <x v="0"/>
    <n v="1"/>
    <n v="80"/>
    <n v="0"/>
    <n v="4"/>
    <n v="2"/>
    <n v="4"/>
    <n v="3"/>
    <n v="1"/>
    <x v="0"/>
    <n v="2"/>
  </r>
  <r>
    <n v="19"/>
    <x v="0"/>
    <s v="Travel_Rarely"/>
    <n v="303"/>
    <x v="1"/>
    <n v="2"/>
    <n v="3"/>
    <s v="Life Sciences"/>
    <n v="1"/>
    <n v="243"/>
    <n v="2"/>
    <x v="1"/>
    <n v="47"/>
    <n v="2"/>
    <n v="1"/>
    <s v="Laboratory Technician"/>
    <n v="4"/>
    <s v="Single"/>
    <x v="7"/>
    <n v="1102"/>
    <n v="9241"/>
    <n v="1"/>
    <s v="Yes"/>
    <s v="No"/>
    <n v="22"/>
    <x v="1"/>
    <n v="3"/>
    <n v="80"/>
    <n v="0"/>
    <n v="1"/>
    <n v="3"/>
    <n v="2"/>
    <n v="1"/>
    <n v="0"/>
    <x v="1"/>
    <n v="0"/>
  </r>
  <r>
    <n v="46"/>
    <x v="1"/>
    <s v="Travel_Rarely"/>
    <n v="526"/>
    <x v="0"/>
    <n v="1"/>
    <n v="2"/>
    <s v="Marketing"/>
    <n v="1"/>
    <n v="244"/>
    <n v="2"/>
    <x v="0"/>
    <n v="92"/>
    <n v="3"/>
    <n v="3"/>
    <s v="Sales Executive"/>
    <n v="1"/>
    <s v="Divorced"/>
    <x v="10"/>
    <n v="10453"/>
    <n v="2137"/>
    <n v="1"/>
    <s v="Yes"/>
    <s v="No"/>
    <n v="25"/>
    <x v="1"/>
    <n v="3"/>
    <n v="80"/>
    <n v="3"/>
    <n v="24"/>
    <n v="2"/>
    <n v="3"/>
    <n v="24"/>
    <n v="13"/>
    <x v="9"/>
    <n v="7"/>
  </r>
  <r>
    <n v="38"/>
    <x v="1"/>
    <s v="Travel_Rarely"/>
    <n v="1380"/>
    <x v="1"/>
    <n v="9"/>
    <n v="2"/>
    <s v="Life Sciences"/>
    <n v="1"/>
    <n v="245"/>
    <n v="3"/>
    <x v="0"/>
    <n v="75"/>
    <n v="3"/>
    <n v="1"/>
    <s v="Laboratory Technician"/>
    <n v="4"/>
    <s v="Single"/>
    <x v="1"/>
    <n v="2288"/>
    <n v="6319"/>
    <n v="1"/>
    <s v="Yes"/>
    <s v="No"/>
    <n v="12"/>
    <x v="0"/>
    <n v="3"/>
    <n v="80"/>
    <n v="0"/>
    <n v="2"/>
    <n v="3"/>
    <n v="3"/>
    <n v="2"/>
    <n v="2"/>
    <x v="3"/>
    <n v="1"/>
  </r>
  <r>
    <n v="31"/>
    <x v="1"/>
    <s v="Travel_Rarely"/>
    <n v="140"/>
    <x v="1"/>
    <n v="12"/>
    <n v="1"/>
    <s v="Medical"/>
    <n v="1"/>
    <n v="246"/>
    <n v="3"/>
    <x v="0"/>
    <n v="95"/>
    <n v="3"/>
    <n v="1"/>
    <s v="Research Scientist"/>
    <n v="4"/>
    <s v="Married"/>
    <x v="2"/>
    <n v="3929"/>
    <n v="6984"/>
    <n v="8"/>
    <s v="Yes"/>
    <s v="Yes"/>
    <n v="23"/>
    <x v="1"/>
    <n v="3"/>
    <n v="80"/>
    <n v="1"/>
    <n v="7"/>
    <n v="0"/>
    <n v="3"/>
    <n v="4"/>
    <n v="2"/>
    <x v="0"/>
    <n v="2"/>
  </r>
  <r>
    <n v="34"/>
    <x v="1"/>
    <s v="Travel_Rarely"/>
    <n v="629"/>
    <x v="1"/>
    <n v="27"/>
    <n v="2"/>
    <s v="Medical"/>
    <n v="1"/>
    <n v="247"/>
    <n v="4"/>
    <x v="0"/>
    <n v="95"/>
    <n v="3"/>
    <n v="1"/>
    <s v="Research Scientist"/>
    <n v="2"/>
    <s v="Single"/>
    <x v="1"/>
    <n v="2311"/>
    <n v="5711"/>
    <n v="2"/>
    <s v="Yes"/>
    <s v="No"/>
    <n v="15"/>
    <x v="0"/>
    <n v="4"/>
    <n v="80"/>
    <n v="0"/>
    <n v="9"/>
    <n v="3"/>
    <n v="3"/>
    <n v="3"/>
    <n v="2"/>
    <x v="1"/>
    <n v="2"/>
  </r>
  <r>
    <n v="41"/>
    <x v="0"/>
    <s v="Travel_Rarely"/>
    <n v="1356"/>
    <x v="0"/>
    <n v="20"/>
    <n v="2"/>
    <s v="Marketing"/>
    <n v="1"/>
    <n v="248"/>
    <n v="2"/>
    <x v="0"/>
    <n v="70"/>
    <n v="3"/>
    <n v="1"/>
    <s v="Sales Representative"/>
    <n v="2"/>
    <s v="Single"/>
    <x v="2"/>
    <n v="3140"/>
    <n v="21728"/>
    <n v="1"/>
    <s v="Yes"/>
    <s v="Yes"/>
    <n v="22"/>
    <x v="1"/>
    <n v="4"/>
    <n v="80"/>
    <n v="0"/>
    <n v="4"/>
    <n v="5"/>
    <n v="2"/>
    <n v="4"/>
    <n v="3"/>
    <x v="0"/>
    <n v="2"/>
  </r>
  <r>
    <n v="50"/>
    <x v="1"/>
    <s v="Travel_Rarely"/>
    <n v="328"/>
    <x v="1"/>
    <n v="1"/>
    <n v="3"/>
    <s v="Medical"/>
    <n v="1"/>
    <n v="249"/>
    <n v="3"/>
    <x v="1"/>
    <n v="86"/>
    <n v="2"/>
    <n v="1"/>
    <s v="Laboratory Technician"/>
    <n v="3"/>
    <s v="Married"/>
    <x v="2"/>
    <n v="3690"/>
    <n v="3425"/>
    <n v="2"/>
    <s v="Yes"/>
    <s v="No"/>
    <n v="15"/>
    <x v="0"/>
    <n v="4"/>
    <n v="80"/>
    <n v="1"/>
    <n v="5"/>
    <n v="2"/>
    <n v="2"/>
    <n v="3"/>
    <n v="2"/>
    <x v="0"/>
    <n v="2"/>
  </r>
  <r>
    <n v="53"/>
    <x v="1"/>
    <s v="Travel_Rarely"/>
    <n v="1084"/>
    <x v="1"/>
    <n v="13"/>
    <n v="2"/>
    <s v="Medical"/>
    <n v="1"/>
    <n v="250"/>
    <n v="4"/>
    <x v="0"/>
    <n v="57"/>
    <n v="4"/>
    <n v="2"/>
    <s v="Manufacturing Director"/>
    <n v="1"/>
    <s v="Divorced"/>
    <x v="4"/>
    <n v="4450"/>
    <n v="26250"/>
    <n v="1"/>
    <s v="Yes"/>
    <s v="No"/>
    <n v="11"/>
    <x v="0"/>
    <n v="3"/>
    <n v="80"/>
    <n v="2"/>
    <n v="5"/>
    <n v="3"/>
    <n v="3"/>
    <n v="4"/>
    <n v="2"/>
    <x v="1"/>
    <n v="3"/>
  </r>
  <r>
    <n v="33"/>
    <x v="1"/>
    <s v="Travel_Rarely"/>
    <n v="931"/>
    <x v="1"/>
    <n v="14"/>
    <n v="3"/>
    <s v="Medical"/>
    <n v="1"/>
    <n v="252"/>
    <n v="4"/>
    <x v="0"/>
    <n v="72"/>
    <n v="3"/>
    <n v="1"/>
    <s v="Research Scientist"/>
    <n v="2"/>
    <s v="Married"/>
    <x v="1"/>
    <n v="2756"/>
    <n v="4673"/>
    <n v="1"/>
    <s v="Yes"/>
    <s v="No"/>
    <n v="13"/>
    <x v="0"/>
    <n v="4"/>
    <n v="80"/>
    <n v="1"/>
    <n v="8"/>
    <n v="5"/>
    <n v="3"/>
    <n v="8"/>
    <n v="7"/>
    <x v="1"/>
    <n v="6"/>
  </r>
  <r>
    <n v="40"/>
    <x v="1"/>
    <s v="Travel_Rarely"/>
    <n v="989"/>
    <x v="1"/>
    <n v="4"/>
    <n v="1"/>
    <s v="Medical"/>
    <n v="1"/>
    <n v="253"/>
    <n v="4"/>
    <x v="0"/>
    <n v="46"/>
    <n v="3"/>
    <n v="5"/>
    <s v="Manager"/>
    <n v="3"/>
    <s v="Married"/>
    <x v="8"/>
    <n v="19033"/>
    <n v="6499"/>
    <n v="1"/>
    <s v="Yes"/>
    <s v="No"/>
    <n v="14"/>
    <x v="0"/>
    <n v="2"/>
    <n v="80"/>
    <n v="1"/>
    <n v="21"/>
    <n v="2"/>
    <n v="3"/>
    <n v="20"/>
    <n v="8"/>
    <x v="10"/>
    <n v="9"/>
  </r>
  <r>
    <n v="55"/>
    <x v="1"/>
    <s v="Travel_Rarely"/>
    <n v="692"/>
    <x v="1"/>
    <n v="14"/>
    <n v="4"/>
    <s v="Medical"/>
    <n v="1"/>
    <n v="254"/>
    <n v="3"/>
    <x v="1"/>
    <n v="61"/>
    <n v="4"/>
    <n v="5"/>
    <s v="Research Director"/>
    <n v="2"/>
    <s v="Single"/>
    <x v="11"/>
    <n v="18722"/>
    <n v="13339"/>
    <n v="8"/>
    <s v="Yes"/>
    <s v="No"/>
    <n v="11"/>
    <x v="0"/>
    <n v="4"/>
    <n v="80"/>
    <n v="0"/>
    <n v="36"/>
    <n v="3"/>
    <n v="3"/>
    <n v="24"/>
    <n v="15"/>
    <x v="3"/>
    <n v="15"/>
  </r>
  <r>
    <n v="34"/>
    <x v="1"/>
    <s v="Travel_Frequently"/>
    <n v="1069"/>
    <x v="1"/>
    <n v="2"/>
    <n v="1"/>
    <s v="Life Sciences"/>
    <n v="1"/>
    <n v="256"/>
    <n v="4"/>
    <x v="1"/>
    <n v="45"/>
    <n v="2"/>
    <n v="2"/>
    <s v="Manufacturing Director"/>
    <n v="3"/>
    <s v="Married"/>
    <x v="3"/>
    <n v="9547"/>
    <n v="14074"/>
    <n v="1"/>
    <s v="Yes"/>
    <s v="No"/>
    <n v="17"/>
    <x v="0"/>
    <n v="3"/>
    <n v="80"/>
    <n v="0"/>
    <n v="10"/>
    <n v="2"/>
    <n v="2"/>
    <n v="10"/>
    <n v="9"/>
    <x v="1"/>
    <n v="9"/>
  </r>
  <r>
    <n v="51"/>
    <x v="1"/>
    <s v="Travel_Rarely"/>
    <n v="313"/>
    <x v="1"/>
    <n v="3"/>
    <n v="3"/>
    <s v="Medical"/>
    <n v="1"/>
    <n v="258"/>
    <n v="4"/>
    <x v="0"/>
    <n v="98"/>
    <n v="3"/>
    <n v="4"/>
    <s v="Healthcare Representative"/>
    <n v="2"/>
    <s v="Single"/>
    <x v="13"/>
    <n v="13734"/>
    <n v="7192"/>
    <n v="3"/>
    <s v="Yes"/>
    <s v="No"/>
    <n v="18"/>
    <x v="0"/>
    <n v="3"/>
    <n v="80"/>
    <n v="0"/>
    <n v="21"/>
    <n v="6"/>
    <n v="3"/>
    <n v="7"/>
    <n v="7"/>
    <x v="1"/>
    <n v="0"/>
  </r>
  <r>
    <n v="52"/>
    <x v="1"/>
    <s v="Travel_Rarely"/>
    <n v="699"/>
    <x v="1"/>
    <n v="1"/>
    <n v="4"/>
    <s v="Life Sciences"/>
    <n v="1"/>
    <n v="259"/>
    <n v="3"/>
    <x v="1"/>
    <n v="65"/>
    <n v="2"/>
    <n v="5"/>
    <s v="Manager"/>
    <n v="3"/>
    <s v="Married"/>
    <x v="8"/>
    <n v="19999"/>
    <n v="5678"/>
    <n v="0"/>
    <s v="Yes"/>
    <s v="No"/>
    <n v="14"/>
    <x v="0"/>
    <n v="1"/>
    <n v="80"/>
    <n v="1"/>
    <n v="34"/>
    <n v="5"/>
    <n v="3"/>
    <n v="33"/>
    <n v="18"/>
    <x v="14"/>
    <n v="9"/>
  </r>
  <r>
    <n v="27"/>
    <x v="1"/>
    <s v="Travel_Rarely"/>
    <n v="894"/>
    <x v="1"/>
    <n v="9"/>
    <n v="3"/>
    <s v="Medical"/>
    <n v="1"/>
    <n v="260"/>
    <n v="4"/>
    <x v="0"/>
    <n v="99"/>
    <n v="3"/>
    <n v="1"/>
    <s v="Research Scientist"/>
    <n v="2"/>
    <s v="Single"/>
    <x v="1"/>
    <n v="2279"/>
    <n v="11781"/>
    <n v="1"/>
    <s v="Yes"/>
    <s v="No"/>
    <n v="16"/>
    <x v="0"/>
    <n v="4"/>
    <n v="80"/>
    <n v="0"/>
    <n v="7"/>
    <n v="2"/>
    <n v="2"/>
    <n v="7"/>
    <n v="7"/>
    <x v="0"/>
    <n v="3"/>
  </r>
  <r>
    <n v="35"/>
    <x v="0"/>
    <s v="Travel_Rarely"/>
    <n v="556"/>
    <x v="1"/>
    <n v="23"/>
    <n v="2"/>
    <s v="Life Sciences"/>
    <n v="1"/>
    <n v="261"/>
    <n v="2"/>
    <x v="1"/>
    <n v="50"/>
    <n v="2"/>
    <n v="2"/>
    <s v="Manufacturing Director"/>
    <n v="3"/>
    <s v="Married"/>
    <x v="0"/>
    <n v="5916"/>
    <n v="15497"/>
    <n v="3"/>
    <s v="Yes"/>
    <s v="Yes"/>
    <n v="13"/>
    <x v="0"/>
    <n v="1"/>
    <n v="80"/>
    <n v="0"/>
    <n v="8"/>
    <n v="1"/>
    <n v="3"/>
    <n v="1"/>
    <n v="0"/>
    <x v="0"/>
    <n v="1"/>
  </r>
  <r>
    <n v="43"/>
    <x v="1"/>
    <s v="Non-Travel"/>
    <n v="1344"/>
    <x v="1"/>
    <n v="7"/>
    <n v="3"/>
    <s v="Medical"/>
    <n v="1"/>
    <n v="262"/>
    <n v="4"/>
    <x v="1"/>
    <n v="37"/>
    <n v="4"/>
    <n v="1"/>
    <s v="Research Scientist"/>
    <n v="4"/>
    <s v="Divorced"/>
    <x v="1"/>
    <n v="2089"/>
    <n v="5228"/>
    <n v="4"/>
    <s v="Yes"/>
    <s v="No"/>
    <n v="14"/>
    <x v="0"/>
    <n v="4"/>
    <n v="80"/>
    <n v="3"/>
    <n v="7"/>
    <n v="3"/>
    <n v="4"/>
    <n v="5"/>
    <n v="4"/>
    <x v="3"/>
    <n v="2"/>
  </r>
  <r>
    <n v="45"/>
    <x v="1"/>
    <s v="Non-Travel"/>
    <n v="1195"/>
    <x v="1"/>
    <n v="2"/>
    <n v="2"/>
    <s v="Medical"/>
    <n v="1"/>
    <n v="264"/>
    <n v="1"/>
    <x v="1"/>
    <n v="65"/>
    <n v="2"/>
    <n v="4"/>
    <s v="Manager"/>
    <n v="4"/>
    <s v="Married"/>
    <x v="17"/>
    <n v="16792"/>
    <n v="20462"/>
    <n v="9"/>
    <s v="Yes"/>
    <s v="No"/>
    <n v="23"/>
    <x v="1"/>
    <n v="4"/>
    <n v="80"/>
    <n v="1"/>
    <n v="22"/>
    <n v="1"/>
    <n v="3"/>
    <n v="20"/>
    <n v="8"/>
    <x v="14"/>
    <n v="8"/>
  </r>
  <r>
    <n v="37"/>
    <x v="1"/>
    <s v="Travel_Rarely"/>
    <n v="290"/>
    <x v="1"/>
    <n v="21"/>
    <n v="3"/>
    <s v="Life Sciences"/>
    <n v="1"/>
    <n v="267"/>
    <n v="2"/>
    <x v="1"/>
    <n v="65"/>
    <n v="4"/>
    <n v="1"/>
    <s v="Research Scientist"/>
    <n v="1"/>
    <s v="Married"/>
    <x v="2"/>
    <n v="3564"/>
    <n v="22977"/>
    <n v="1"/>
    <s v="Yes"/>
    <s v="Yes"/>
    <n v="12"/>
    <x v="0"/>
    <n v="1"/>
    <n v="80"/>
    <n v="1"/>
    <n v="8"/>
    <n v="3"/>
    <n v="2"/>
    <n v="8"/>
    <n v="7"/>
    <x v="1"/>
    <n v="7"/>
  </r>
  <r>
    <n v="35"/>
    <x v="1"/>
    <s v="Travel_Frequently"/>
    <n v="138"/>
    <x v="1"/>
    <n v="2"/>
    <n v="3"/>
    <s v="Medical"/>
    <n v="1"/>
    <n v="269"/>
    <n v="2"/>
    <x v="0"/>
    <n v="37"/>
    <n v="3"/>
    <n v="2"/>
    <s v="Laboratory Technician"/>
    <n v="2"/>
    <s v="Single"/>
    <x v="4"/>
    <n v="4425"/>
    <n v="15986"/>
    <n v="5"/>
    <s v="Yes"/>
    <s v="No"/>
    <n v="11"/>
    <x v="0"/>
    <n v="4"/>
    <n v="80"/>
    <n v="0"/>
    <n v="10"/>
    <n v="5"/>
    <n v="3"/>
    <n v="6"/>
    <n v="2"/>
    <x v="1"/>
    <n v="2"/>
  </r>
  <r>
    <n v="42"/>
    <x v="1"/>
    <s v="Non-Travel"/>
    <n v="926"/>
    <x v="1"/>
    <n v="21"/>
    <n v="2"/>
    <s v="Medical"/>
    <n v="1"/>
    <n v="270"/>
    <n v="3"/>
    <x v="0"/>
    <n v="36"/>
    <n v="3"/>
    <n v="2"/>
    <s v="Manufacturing Director"/>
    <n v="3"/>
    <s v="Divorced"/>
    <x v="0"/>
    <n v="5265"/>
    <n v="16439"/>
    <n v="2"/>
    <s v="Yes"/>
    <s v="No"/>
    <n v="16"/>
    <x v="0"/>
    <n v="2"/>
    <n v="80"/>
    <n v="1"/>
    <n v="11"/>
    <n v="5"/>
    <n v="3"/>
    <n v="5"/>
    <n v="3"/>
    <x v="0"/>
    <n v="2"/>
  </r>
  <r>
    <n v="38"/>
    <x v="1"/>
    <s v="Travel_Rarely"/>
    <n v="1261"/>
    <x v="1"/>
    <n v="2"/>
    <n v="4"/>
    <s v="Life Sciences"/>
    <n v="1"/>
    <n v="271"/>
    <n v="4"/>
    <x v="1"/>
    <n v="88"/>
    <n v="3"/>
    <n v="2"/>
    <s v="Manufacturing Director"/>
    <n v="3"/>
    <s v="Married"/>
    <x v="9"/>
    <n v="6553"/>
    <n v="7259"/>
    <n v="9"/>
    <s v="Yes"/>
    <s v="No"/>
    <n v="14"/>
    <x v="0"/>
    <n v="2"/>
    <n v="80"/>
    <n v="0"/>
    <n v="14"/>
    <n v="3"/>
    <n v="3"/>
    <n v="1"/>
    <n v="0"/>
    <x v="0"/>
    <n v="0"/>
  </r>
  <r>
    <n v="38"/>
    <x v="1"/>
    <s v="Travel_Rarely"/>
    <n v="1084"/>
    <x v="1"/>
    <n v="29"/>
    <n v="3"/>
    <s v="Technical Degree"/>
    <n v="1"/>
    <n v="273"/>
    <n v="4"/>
    <x v="1"/>
    <n v="54"/>
    <n v="3"/>
    <n v="2"/>
    <s v="Manufacturing Director"/>
    <n v="4"/>
    <s v="Married"/>
    <x v="9"/>
    <n v="6261"/>
    <n v="4185"/>
    <n v="3"/>
    <s v="Yes"/>
    <s v="No"/>
    <n v="18"/>
    <x v="0"/>
    <n v="1"/>
    <n v="80"/>
    <n v="1"/>
    <n v="9"/>
    <n v="3"/>
    <n v="1"/>
    <n v="7"/>
    <n v="7"/>
    <x v="1"/>
    <n v="7"/>
  </r>
  <r>
    <n v="27"/>
    <x v="1"/>
    <s v="Travel_Frequently"/>
    <n v="472"/>
    <x v="1"/>
    <n v="1"/>
    <n v="1"/>
    <s v="Technical Degree"/>
    <n v="1"/>
    <n v="274"/>
    <n v="3"/>
    <x v="1"/>
    <n v="60"/>
    <n v="2"/>
    <n v="2"/>
    <s v="Manufacturing Director"/>
    <n v="1"/>
    <s v="Married"/>
    <x v="4"/>
    <n v="4298"/>
    <n v="9679"/>
    <n v="5"/>
    <s v="Yes"/>
    <s v="No"/>
    <n v="19"/>
    <x v="0"/>
    <n v="3"/>
    <n v="80"/>
    <n v="1"/>
    <n v="6"/>
    <n v="1"/>
    <n v="3"/>
    <n v="2"/>
    <n v="2"/>
    <x v="3"/>
    <n v="0"/>
  </r>
  <r>
    <n v="49"/>
    <x v="1"/>
    <s v="Non-Travel"/>
    <n v="1002"/>
    <x v="1"/>
    <n v="18"/>
    <n v="4"/>
    <s v="Life Sciences"/>
    <n v="1"/>
    <n v="275"/>
    <n v="4"/>
    <x v="1"/>
    <n v="92"/>
    <n v="3"/>
    <n v="2"/>
    <s v="Manufacturing Director"/>
    <n v="4"/>
    <s v="Divorced"/>
    <x v="9"/>
    <n v="6804"/>
    <n v="23793"/>
    <n v="1"/>
    <s v="Yes"/>
    <s v="Yes"/>
    <n v="15"/>
    <x v="0"/>
    <n v="1"/>
    <n v="80"/>
    <n v="2"/>
    <n v="7"/>
    <n v="0"/>
    <n v="3"/>
    <n v="7"/>
    <n v="7"/>
    <x v="1"/>
    <n v="7"/>
  </r>
  <r>
    <n v="34"/>
    <x v="1"/>
    <s v="Travel_Frequently"/>
    <n v="878"/>
    <x v="1"/>
    <n v="10"/>
    <n v="4"/>
    <s v="Medical"/>
    <n v="1"/>
    <n v="277"/>
    <n v="4"/>
    <x v="1"/>
    <n v="43"/>
    <n v="3"/>
    <n v="1"/>
    <s v="Research Scientist"/>
    <n v="3"/>
    <s v="Divorced"/>
    <x v="2"/>
    <n v="3815"/>
    <n v="5972"/>
    <n v="1"/>
    <s v="Yes"/>
    <s v="Yes"/>
    <n v="17"/>
    <x v="0"/>
    <n v="4"/>
    <n v="80"/>
    <n v="1"/>
    <n v="5"/>
    <n v="4"/>
    <n v="4"/>
    <n v="5"/>
    <n v="3"/>
    <x v="3"/>
    <n v="0"/>
  </r>
  <r>
    <n v="40"/>
    <x v="1"/>
    <s v="Travel_Rarely"/>
    <n v="905"/>
    <x v="1"/>
    <n v="19"/>
    <n v="2"/>
    <s v="Medical"/>
    <n v="1"/>
    <n v="281"/>
    <n v="3"/>
    <x v="1"/>
    <n v="99"/>
    <n v="3"/>
    <n v="2"/>
    <s v="Laboratory Technician"/>
    <n v="4"/>
    <s v="Married"/>
    <x v="1"/>
    <n v="2741"/>
    <n v="16523"/>
    <n v="8"/>
    <s v="Yes"/>
    <s v="Yes"/>
    <n v="15"/>
    <x v="0"/>
    <n v="3"/>
    <n v="80"/>
    <n v="1"/>
    <n v="15"/>
    <n v="2"/>
    <n v="4"/>
    <n v="7"/>
    <n v="2"/>
    <x v="2"/>
    <n v="7"/>
  </r>
  <r>
    <n v="38"/>
    <x v="0"/>
    <s v="Travel_Rarely"/>
    <n v="1180"/>
    <x v="1"/>
    <n v="29"/>
    <n v="1"/>
    <s v="Medical"/>
    <n v="1"/>
    <n v="282"/>
    <n v="2"/>
    <x v="1"/>
    <n v="70"/>
    <n v="3"/>
    <n v="2"/>
    <s v="Healthcare Representative"/>
    <n v="1"/>
    <s v="Married"/>
    <x v="9"/>
    <n v="6673"/>
    <n v="11354"/>
    <n v="7"/>
    <s v="Yes"/>
    <s v="Yes"/>
    <n v="19"/>
    <x v="0"/>
    <n v="2"/>
    <n v="80"/>
    <n v="0"/>
    <n v="17"/>
    <n v="2"/>
    <n v="3"/>
    <n v="1"/>
    <n v="0"/>
    <x v="0"/>
    <n v="0"/>
  </r>
  <r>
    <n v="29"/>
    <x v="0"/>
    <s v="Travel_Rarely"/>
    <n v="121"/>
    <x v="0"/>
    <n v="27"/>
    <n v="3"/>
    <s v="Marketing"/>
    <n v="1"/>
    <n v="283"/>
    <n v="2"/>
    <x v="0"/>
    <n v="35"/>
    <n v="3"/>
    <n v="3"/>
    <s v="Sales Executive"/>
    <n v="4"/>
    <s v="Married"/>
    <x v="14"/>
    <n v="7639"/>
    <n v="24525"/>
    <n v="1"/>
    <s v="Yes"/>
    <s v="No"/>
    <n v="22"/>
    <x v="1"/>
    <n v="4"/>
    <n v="80"/>
    <n v="3"/>
    <n v="10"/>
    <n v="3"/>
    <n v="2"/>
    <n v="10"/>
    <n v="4"/>
    <x v="1"/>
    <n v="9"/>
  </r>
  <r>
    <n v="22"/>
    <x v="1"/>
    <s v="Travel_Rarely"/>
    <n v="1136"/>
    <x v="1"/>
    <n v="5"/>
    <n v="3"/>
    <s v="Life Sciences"/>
    <n v="1"/>
    <n v="284"/>
    <n v="4"/>
    <x v="1"/>
    <n v="60"/>
    <n v="4"/>
    <n v="1"/>
    <s v="Research Scientist"/>
    <n v="2"/>
    <s v="Divorced"/>
    <x v="1"/>
    <n v="2328"/>
    <n v="12392"/>
    <n v="1"/>
    <s v="Yes"/>
    <s v="Yes"/>
    <n v="16"/>
    <x v="0"/>
    <n v="1"/>
    <n v="80"/>
    <n v="1"/>
    <n v="4"/>
    <n v="2"/>
    <n v="2"/>
    <n v="4"/>
    <n v="2"/>
    <x v="3"/>
    <n v="2"/>
  </r>
  <r>
    <n v="36"/>
    <x v="1"/>
    <s v="Travel_Frequently"/>
    <n v="635"/>
    <x v="1"/>
    <n v="18"/>
    <n v="1"/>
    <s v="Medical"/>
    <n v="1"/>
    <n v="286"/>
    <n v="2"/>
    <x v="0"/>
    <n v="73"/>
    <n v="3"/>
    <n v="1"/>
    <s v="Laboratory Technician"/>
    <n v="4"/>
    <s v="Single"/>
    <x v="1"/>
    <n v="2153"/>
    <n v="7703"/>
    <n v="1"/>
    <s v="Yes"/>
    <s v="No"/>
    <n v="13"/>
    <x v="0"/>
    <n v="1"/>
    <n v="80"/>
    <n v="0"/>
    <n v="8"/>
    <n v="2"/>
    <n v="3"/>
    <n v="8"/>
    <n v="1"/>
    <x v="1"/>
    <n v="7"/>
  </r>
  <r>
    <n v="40"/>
    <x v="1"/>
    <s v="Non-Travel"/>
    <n v="1151"/>
    <x v="1"/>
    <n v="9"/>
    <n v="5"/>
    <s v="Life Sciences"/>
    <n v="1"/>
    <n v="287"/>
    <n v="4"/>
    <x v="1"/>
    <n v="63"/>
    <n v="2"/>
    <n v="2"/>
    <s v="Healthcare Representative"/>
    <n v="4"/>
    <s v="Married"/>
    <x v="4"/>
    <n v="4876"/>
    <n v="14242"/>
    <n v="9"/>
    <s v="Yes"/>
    <s v="No"/>
    <n v="14"/>
    <x v="0"/>
    <n v="4"/>
    <n v="80"/>
    <n v="1"/>
    <n v="5"/>
    <n v="5"/>
    <n v="1"/>
    <n v="3"/>
    <n v="2"/>
    <x v="0"/>
    <n v="2"/>
  </r>
  <r>
    <n v="46"/>
    <x v="1"/>
    <s v="Travel_Rarely"/>
    <n v="644"/>
    <x v="1"/>
    <n v="1"/>
    <n v="4"/>
    <s v="Medical"/>
    <n v="1"/>
    <n v="288"/>
    <n v="4"/>
    <x v="1"/>
    <n v="97"/>
    <n v="3"/>
    <n v="3"/>
    <s v="Healthcare Representative"/>
    <n v="1"/>
    <s v="Divorced"/>
    <x v="3"/>
    <n v="9396"/>
    <n v="12368"/>
    <n v="7"/>
    <s v="Yes"/>
    <s v="No"/>
    <n v="16"/>
    <x v="0"/>
    <n v="3"/>
    <n v="80"/>
    <n v="1"/>
    <n v="17"/>
    <n v="3"/>
    <n v="3"/>
    <n v="4"/>
    <n v="2"/>
    <x v="0"/>
    <n v="3"/>
  </r>
  <r>
    <n v="32"/>
    <x v="0"/>
    <s v="Travel_Rarely"/>
    <n v="1045"/>
    <x v="0"/>
    <n v="4"/>
    <n v="4"/>
    <s v="Medical"/>
    <n v="1"/>
    <n v="291"/>
    <n v="4"/>
    <x v="1"/>
    <n v="32"/>
    <n v="1"/>
    <n v="3"/>
    <s v="Sales Executive"/>
    <n v="4"/>
    <s v="Married"/>
    <x v="10"/>
    <n v="10400"/>
    <n v="25812"/>
    <n v="1"/>
    <s v="Yes"/>
    <s v="No"/>
    <n v="11"/>
    <x v="0"/>
    <n v="3"/>
    <n v="80"/>
    <n v="0"/>
    <n v="14"/>
    <n v="2"/>
    <n v="2"/>
    <n v="14"/>
    <n v="8"/>
    <x v="10"/>
    <n v="8"/>
  </r>
  <r>
    <n v="30"/>
    <x v="1"/>
    <s v="Non-Travel"/>
    <n v="829"/>
    <x v="1"/>
    <n v="1"/>
    <n v="1"/>
    <s v="Life Sciences"/>
    <n v="1"/>
    <n v="292"/>
    <n v="3"/>
    <x v="1"/>
    <n v="88"/>
    <n v="2"/>
    <n v="3"/>
    <s v="Manufacturing Director"/>
    <n v="3"/>
    <s v="Single"/>
    <x v="12"/>
    <n v="8474"/>
    <n v="20925"/>
    <n v="1"/>
    <s v="Yes"/>
    <s v="No"/>
    <n v="22"/>
    <x v="1"/>
    <n v="3"/>
    <n v="80"/>
    <n v="0"/>
    <n v="12"/>
    <n v="2"/>
    <n v="3"/>
    <n v="11"/>
    <n v="8"/>
    <x v="8"/>
    <n v="8"/>
  </r>
  <r>
    <n v="27"/>
    <x v="1"/>
    <s v="Travel_Frequently"/>
    <n v="1242"/>
    <x v="0"/>
    <n v="20"/>
    <n v="3"/>
    <s v="Life Sciences"/>
    <n v="1"/>
    <n v="293"/>
    <n v="4"/>
    <x v="0"/>
    <n v="90"/>
    <n v="3"/>
    <n v="2"/>
    <s v="Sales Executive"/>
    <n v="3"/>
    <s v="Single"/>
    <x v="3"/>
    <n v="9981"/>
    <n v="12916"/>
    <n v="1"/>
    <s v="Yes"/>
    <s v="No"/>
    <n v="14"/>
    <x v="0"/>
    <n v="4"/>
    <n v="80"/>
    <n v="0"/>
    <n v="7"/>
    <n v="2"/>
    <n v="3"/>
    <n v="7"/>
    <n v="7"/>
    <x v="0"/>
    <n v="7"/>
  </r>
  <r>
    <n v="51"/>
    <x v="1"/>
    <s v="Travel_Rarely"/>
    <n v="1469"/>
    <x v="1"/>
    <n v="8"/>
    <n v="4"/>
    <s v="Life Sciences"/>
    <n v="1"/>
    <n v="296"/>
    <n v="2"/>
    <x v="1"/>
    <n v="81"/>
    <n v="2"/>
    <n v="3"/>
    <s v="Research Director"/>
    <n v="2"/>
    <s v="Married"/>
    <x v="18"/>
    <n v="12490"/>
    <n v="15736"/>
    <n v="5"/>
    <s v="Yes"/>
    <s v="No"/>
    <n v="16"/>
    <x v="0"/>
    <n v="4"/>
    <n v="80"/>
    <n v="2"/>
    <n v="16"/>
    <n v="5"/>
    <n v="1"/>
    <n v="10"/>
    <n v="9"/>
    <x v="5"/>
    <n v="7"/>
  </r>
  <r>
    <n v="30"/>
    <x v="0"/>
    <s v="Travel_Rarely"/>
    <n v="1005"/>
    <x v="1"/>
    <n v="3"/>
    <n v="3"/>
    <s v="Technical Degree"/>
    <n v="1"/>
    <n v="297"/>
    <n v="4"/>
    <x v="0"/>
    <n v="88"/>
    <n v="3"/>
    <n v="1"/>
    <s v="Research Scientist"/>
    <n v="1"/>
    <s v="Single"/>
    <x v="1"/>
    <n v="2657"/>
    <n v="8556"/>
    <n v="5"/>
    <s v="Yes"/>
    <s v="Yes"/>
    <n v="11"/>
    <x v="0"/>
    <n v="3"/>
    <n v="80"/>
    <n v="0"/>
    <n v="8"/>
    <n v="5"/>
    <n v="3"/>
    <n v="5"/>
    <n v="2"/>
    <x v="0"/>
    <n v="4"/>
  </r>
  <r>
    <n v="41"/>
    <x v="1"/>
    <s v="Travel_Rarely"/>
    <n v="896"/>
    <x v="0"/>
    <n v="6"/>
    <n v="3"/>
    <s v="Life Sciences"/>
    <n v="1"/>
    <n v="298"/>
    <n v="4"/>
    <x v="0"/>
    <n v="75"/>
    <n v="3"/>
    <n v="3"/>
    <s v="Manager"/>
    <n v="4"/>
    <s v="Single"/>
    <x v="13"/>
    <n v="13591"/>
    <n v="14674"/>
    <n v="3"/>
    <s v="Yes"/>
    <s v="Yes"/>
    <n v="18"/>
    <x v="0"/>
    <n v="3"/>
    <n v="80"/>
    <n v="0"/>
    <n v="16"/>
    <n v="3"/>
    <n v="3"/>
    <n v="1"/>
    <n v="0"/>
    <x v="0"/>
    <n v="0"/>
  </r>
  <r>
    <n v="30"/>
    <x v="0"/>
    <s v="Travel_Frequently"/>
    <n v="334"/>
    <x v="0"/>
    <n v="26"/>
    <n v="4"/>
    <s v="Marketing"/>
    <n v="1"/>
    <n v="299"/>
    <n v="3"/>
    <x v="0"/>
    <n v="52"/>
    <n v="2"/>
    <n v="2"/>
    <s v="Sales Executive"/>
    <n v="1"/>
    <s v="Single"/>
    <x v="9"/>
    <n v="6696"/>
    <n v="22967"/>
    <n v="5"/>
    <s v="Yes"/>
    <s v="No"/>
    <n v="15"/>
    <x v="0"/>
    <n v="3"/>
    <n v="80"/>
    <n v="0"/>
    <n v="9"/>
    <n v="5"/>
    <n v="2"/>
    <n v="6"/>
    <n v="3"/>
    <x v="0"/>
    <n v="1"/>
  </r>
  <r>
    <n v="29"/>
    <x v="0"/>
    <s v="Travel_Rarely"/>
    <n v="992"/>
    <x v="1"/>
    <n v="1"/>
    <n v="3"/>
    <s v="Technical Degree"/>
    <n v="1"/>
    <n v="300"/>
    <n v="3"/>
    <x v="1"/>
    <n v="85"/>
    <n v="3"/>
    <n v="1"/>
    <s v="Research Scientist"/>
    <n v="3"/>
    <s v="Single"/>
    <x v="1"/>
    <n v="2058"/>
    <n v="19757"/>
    <n v="0"/>
    <s v="Yes"/>
    <s v="No"/>
    <n v="14"/>
    <x v="0"/>
    <n v="4"/>
    <n v="80"/>
    <n v="0"/>
    <n v="7"/>
    <n v="1"/>
    <n v="2"/>
    <n v="6"/>
    <n v="2"/>
    <x v="1"/>
    <n v="5"/>
  </r>
  <r>
    <n v="45"/>
    <x v="1"/>
    <s v="Non-Travel"/>
    <n v="1052"/>
    <x v="0"/>
    <n v="6"/>
    <n v="3"/>
    <s v="Medical"/>
    <n v="1"/>
    <n v="302"/>
    <n v="4"/>
    <x v="0"/>
    <n v="57"/>
    <n v="2"/>
    <n v="3"/>
    <s v="Sales Executive"/>
    <n v="4"/>
    <s v="Single"/>
    <x v="12"/>
    <n v="8865"/>
    <n v="16840"/>
    <n v="6"/>
    <s v="Yes"/>
    <s v="No"/>
    <n v="12"/>
    <x v="0"/>
    <n v="4"/>
    <n v="80"/>
    <n v="0"/>
    <n v="23"/>
    <n v="2"/>
    <n v="3"/>
    <n v="19"/>
    <n v="7"/>
    <x v="12"/>
    <n v="8"/>
  </r>
  <r>
    <n v="54"/>
    <x v="1"/>
    <s v="Travel_Rarely"/>
    <n v="1147"/>
    <x v="0"/>
    <n v="3"/>
    <n v="3"/>
    <s v="Marketing"/>
    <n v="1"/>
    <n v="303"/>
    <n v="4"/>
    <x v="0"/>
    <n v="52"/>
    <n v="3"/>
    <n v="2"/>
    <s v="Sales Executive"/>
    <n v="1"/>
    <s v="Married"/>
    <x v="0"/>
    <n v="5940"/>
    <n v="17011"/>
    <n v="2"/>
    <s v="Yes"/>
    <s v="No"/>
    <n v="14"/>
    <x v="0"/>
    <n v="4"/>
    <n v="80"/>
    <n v="1"/>
    <n v="16"/>
    <n v="4"/>
    <n v="3"/>
    <n v="6"/>
    <n v="2"/>
    <x v="0"/>
    <n v="5"/>
  </r>
  <r>
    <n v="36"/>
    <x v="1"/>
    <s v="Travel_Rarely"/>
    <n v="1396"/>
    <x v="1"/>
    <n v="5"/>
    <n v="2"/>
    <s v="Life Sciences"/>
    <n v="1"/>
    <n v="304"/>
    <n v="4"/>
    <x v="1"/>
    <n v="62"/>
    <n v="3"/>
    <n v="2"/>
    <s v="Laboratory Technician"/>
    <n v="2"/>
    <s v="Single"/>
    <x v="0"/>
    <n v="5914"/>
    <n v="9945"/>
    <n v="8"/>
    <s v="Yes"/>
    <s v="No"/>
    <n v="16"/>
    <x v="0"/>
    <n v="4"/>
    <n v="80"/>
    <n v="0"/>
    <n v="16"/>
    <n v="3"/>
    <n v="4"/>
    <n v="13"/>
    <n v="11"/>
    <x v="2"/>
    <n v="7"/>
  </r>
  <r>
    <n v="33"/>
    <x v="1"/>
    <s v="Travel_Rarely"/>
    <n v="147"/>
    <x v="1"/>
    <n v="4"/>
    <n v="4"/>
    <s v="Medical"/>
    <n v="1"/>
    <n v="305"/>
    <n v="3"/>
    <x v="0"/>
    <n v="47"/>
    <n v="2"/>
    <n v="1"/>
    <s v="Research Scientist"/>
    <n v="2"/>
    <s v="Married"/>
    <x v="1"/>
    <n v="2622"/>
    <n v="13248"/>
    <n v="6"/>
    <s v="Yes"/>
    <s v="No"/>
    <n v="21"/>
    <x v="1"/>
    <n v="4"/>
    <n v="80"/>
    <n v="0"/>
    <n v="7"/>
    <n v="3"/>
    <n v="3"/>
    <n v="3"/>
    <n v="2"/>
    <x v="1"/>
    <n v="1"/>
  </r>
  <r>
    <n v="37"/>
    <x v="1"/>
    <s v="Travel_Frequently"/>
    <n v="663"/>
    <x v="1"/>
    <n v="11"/>
    <n v="3"/>
    <s v="Other"/>
    <n v="1"/>
    <n v="306"/>
    <n v="2"/>
    <x v="1"/>
    <n v="47"/>
    <n v="3"/>
    <n v="3"/>
    <s v="Research Director"/>
    <n v="4"/>
    <s v="Divorced"/>
    <x v="18"/>
    <n v="12185"/>
    <n v="10056"/>
    <n v="1"/>
    <s v="Yes"/>
    <s v="Yes"/>
    <n v="14"/>
    <x v="0"/>
    <n v="3"/>
    <n v="80"/>
    <n v="3"/>
    <n v="10"/>
    <n v="1"/>
    <n v="3"/>
    <n v="10"/>
    <n v="8"/>
    <x v="0"/>
    <n v="7"/>
  </r>
  <r>
    <n v="38"/>
    <x v="1"/>
    <s v="Travel_Rarely"/>
    <n v="119"/>
    <x v="0"/>
    <n v="3"/>
    <n v="3"/>
    <s v="Life Sciences"/>
    <n v="1"/>
    <n v="307"/>
    <n v="1"/>
    <x v="1"/>
    <n v="76"/>
    <n v="3"/>
    <n v="3"/>
    <s v="Sales Executive"/>
    <n v="3"/>
    <s v="Divorced"/>
    <x v="10"/>
    <n v="10609"/>
    <n v="9647"/>
    <n v="0"/>
    <s v="Yes"/>
    <s v="No"/>
    <n v="12"/>
    <x v="0"/>
    <n v="3"/>
    <n v="80"/>
    <n v="2"/>
    <n v="17"/>
    <n v="6"/>
    <n v="2"/>
    <n v="16"/>
    <n v="10"/>
    <x v="8"/>
    <n v="13"/>
  </r>
  <r>
    <n v="31"/>
    <x v="1"/>
    <s v="Non-Travel"/>
    <n v="979"/>
    <x v="1"/>
    <n v="1"/>
    <n v="4"/>
    <s v="Medical"/>
    <n v="1"/>
    <n v="308"/>
    <n v="3"/>
    <x v="1"/>
    <n v="90"/>
    <n v="1"/>
    <n v="2"/>
    <s v="Manufacturing Director"/>
    <n v="3"/>
    <s v="Married"/>
    <x v="4"/>
    <n v="4345"/>
    <n v="4381"/>
    <n v="0"/>
    <s v="Yes"/>
    <s v="No"/>
    <n v="12"/>
    <x v="0"/>
    <n v="4"/>
    <n v="80"/>
    <n v="1"/>
    <n v="6"/>
    <n v="2"/>
    <n v="3"/>
    <n v="5"/>
    <n v="4"/>
    <x v="1"/>
    <n v="4"/>
  </r>
  <r>
    <n v="59"/>
    <x v="1"/>
    <s v="Travel_Rarely"/>
    <n v="142"/>
    <x v="1"/>
    <n v="3"/>
    <n v="3"/>
    <s v="Life Sciences"/>
    <n v="1"/>
    <n v="309"/>
    <n v="3"/>
    <x v="1"/>
    <n v="70"/>
    <n v="2"/>
    <n v="1"/>
    <s v="Research Scientist"/>
    <n v="4"/>
    <s v="Married"/>
    <x v="1"/>
    <n v="2177"/>
    <n v="8456"/>
    <n v="3"/>
    <s v="Yes"/>
    <s v="No"/>
    <n v="17"/>
    <x v="0"/>
    <n v="1"/>
    <n v="80"/>
    <n v="1"/>
    <n v="7"/>
    <n v="6"/>
    <n v="3"/>
    <n v="1"/>
    <n v="0"/>
    <x v="0"/>
    <n v="0"/>
  </r>
  <r>
    <n v="37"/>
    <x v="1"/>
    <s v="Travel_Frequently"/>
    <n v="319"/>
    <x v="0"/>
    <n v="4"/>
    <n v="4"/>
    <s v="Marketing"/>
    <n v="1"/>
    <n v="311"/>
    <n v="1"/>
    <x v="1"/>
    <n v="41"/>
    <n v="3"/>
    <n v="1"/>
    <s v="Sales Representative"/>
    <n v="4"/>
    <s v="Divorced"/>
    <x v="1"/>
    <n v="2793"/>
    <n v="2539"/>
    <n v="4"/>
    <s v="Yes"/>
    <s v="No"/>
    <n v="17"/>
    <x v="0"/>
    <n v="3"/>
    <n v="80"/>
    <n v="1"/>
    <n v="13"/>
    <n v="2"/>
    <n v="3"/>
    <n v="9"/>
    <n v="8"/>
    <x v="8"/>
    <n v="8"/>
  </r>
  <r>
    <n v="29"/>
    <x v="1"/>
    <s v="Travel_Frequently"/>
    <n v="1413"/>
    <x v="0"/>
    <n v="1"/>
    <n v="1"/>
    <s v="Medical"/>
    <n v="1"/>
    <n v="312"/>
    <n v="2"/>
    <x v="0"/>
    <n v="42"/>
    <n v="3"/>
    <n v="3"/>
    <s v="Sales Executive"/>
    <n v="4"/>
    <s v="Married"/>
    <x v="14"/>
    <n v="7918"/>
    <n v="6599"/>
    <n v="1"/>
    <s v="Yes"/>
    <s v="No"/>
    <n v="14"/>
    <x v="0"/>
    <n v="4"/>
    <n v="80"/>
    <n v="1"/>
    <n v="11"/>
    <n v="5"/>
    <n v="3"/>
    <n v="11"/>
    <n v="10"/>
    <x v="5"/>
    <n v="1"/>
  </r>
  <r>
    <n v="35"/>
    <x v="1"/>
    <s v="Travel_Frequently"/>
    <n v="944"/>
    <x v="0"/>
    <n v="1"/>
    <n v="3"/>
    <s v="Marketing"/>
    <n v="1"/>
    <n v="314"/>
    <n v="3"/>
    <x v="0"/>
    <n v="92"/>
    <n v="3"/>
    <n v="3"/>
    <s v="Sales Executive"/>
    <n v="3"/>
    <s v="Single"/>
    <x v="12"/>
    <n v="8789"/>
    <n v="9096"/>
    <n v="1"/>
    <s v="Yes"/>
    <s v="No"/>
    <n v="14"/>
    <x v="0"/>
    <n v="1"/>
    <n v="80"/>
    <n v="0"/>
    <n v="10"/>
    <n v="3"/>
    <n v="4"/>
    <n v="10"/>
    <n v="7"/>
    <x v="0"/>
    <n v="8"/>
  </r>
  <r>
    <n v="29"/>
    <x v="0"/>
    <s v="Travel_Rarely"/>
    <n v="896"/>
    <x v="1"/>
    <n v="18"/>
    <n v="1"/>
    <s v="Medical"/>
    <n v="1"/>
    <n v="315"/>
    <n v="3"/>
    <x v="1"/>
    <n v="86"/>
    <n v="2"/>
    <n v="1"/>
    <s v="Research Scientist"/>
    <n v="4"/>
    <s v="Single"/>
    <x v="1"/>
    <n v="2389"/>
    <n v="14961"/>
    <n v="1"/>
    <s v="Yes"/>
    <s v="Yes"/>
    <n v="13"/>
    <x v="0"/>
    <n v="3"/>
    <n v="80"/>
    <n v="0"/>
    <n v="4"/>
    <n v="3"/>
    <n v="2"/>
    <n v="4"/>
    <n v="3"/>
    <x v="0"/>
    <n v="1"/>
  </r>
  <r>
    <n v="52"/>
    <x v="1"/>
    <s v="Travel_Rarely"/>
    <n v="1323"/>
    <x v="1"/>
    <n v="2"/>
    <n v="3"/>
    <s v="Life Sciences"/>
    <n v="1"/>
    <n v="316"/>
    <n v="3"/>
    <x v="0"/>
    <n v="89"/>
    <n v="2"/>
    <n v="1"/>
    <s v="Laboratory Technician"/>
    <n v="4"/>
    <s v="Single"/>
    <x v="2"/>
    <n v="3212"/>
    <n v="3300"/>
    <n v="7"/>
    <s v="Yes"/>
    <s v="No"/>
    <n v="15"/>
    <x v="0"/>
    <n v="2"/>
    <n v="80"/>
    <n v="0"/>
    <n v="6"/>
    <n v="3"/>
    <n v="2"/>
    <n v="2"/>
    <n v="2"/>
    <x v="3"/>
    <n v="2"/>
  </r>
  <r>
    <n v="42"/>
    <x v="1"/>
    <s v="Travel_Rarely"/>
    <n v="532"/>
    <x v="1"/>
    <n v="4"/>
    <n v="2"/>
    <s v="Technical Degree"/>
    <n v="1"/>
    <n v="319"/>
    <n v="3"/>
    <x v="1"/>
    <n v="58"/>
    <n v="3"/>
    <n v="5"/>
    <s v="Manager"/>
    <n v="4"/>
    <s v="Married"/>
    <x v="8"/>
    <n v="19232"/>
    <n v="4933"/>
    <n v="1"/>
    <s v="Yes"/>
    <s v="No"/>
    <n v="11"/>
    <x v="0"/>
    <n v="4"/>
    <n v="80"/>
    <n v="0"/>
    <n v="22"/>
    <n v="3"/>
    <n v="3"/>
    <n v="22"/>
    <n v="17"/>
    <x v="14"/>
    <n v="15"/>
  </r>
  <r>
    <n v="59"/>
    <x v="1"/>
    <s v="Travel_Rarely"/>
    <n v="818"/>
    <x v="2"/>
    <n v="6"/>
    <n v="2"/>
    <s v="Medical"/>
    <n v="1"/>
    <n v="321"/>
    <n v="2"/>
    <x v="1"/>
    <n v="52"/>
    <n v="3"/>
    <n v="1"/>
    <s v="Human Resources"/>
    <n v="3"/>
    <s v="Married"/>
    <x v="1"/>
    <n v="2267"/>
    <n v="25657"/>
    <n v="8"/>
    <s v="Yes"/>
    <s v="No"/>
    <n v="17"/>
    <x v="0"/>
    <n v="4"/>
    <n v="80"/>
    <n v="0"/>
    <n v="7"/>
    <n v="2"/>
    <n v="2"/>
    <n v="2"/>
    <n v="2"/>
    <x v="3"/>
    <n v="2"/>
  </r>
  <r>
    <n v="50"/>
    <x v="1"/>
    <s v="Travel_Rarely"/>
    <n v="854"/>
    <x v="0"/>
    <n v="1"/>
    <n v="4"/>
    <s v="Medical"/>
    <n v="1"/>
    <n v="323"/>
    <n v="4"/>
    <x v="0"/>
    <n v="68"/>
    <n v="3"/>
    <n v="5"/>
    <s v="Manager"/>
    <n v="4"/>
    <s v="Divorced"/>
    <x v="8"/>
    <n v="19517"/>
    <n v="24118"/>
    <n v="3"/>
    <s v="Yes"/>
    <s v="No"/>
    <n v="11"/>
    <x v="0"/>
    <n v="3"/>
    <n v="80"/>
    <n v="1"/>
    <n v="32"/>
    <n v="3"/>
    <n v="2"/>
    <n v="7"/>
    <n v="0"/>
    <x v="0"/>
    <n v="6"/>
  </r>
  <r>
    <n v="33"/>
    <x v="0"/>
    <s v="Travel_Rarely"/>
    <n v="813"/>
    <x v="1"/>
    <n v="14"/>
    <n v="3"/>
    <s v="Medical"/>
    <n v="1"/>
    <n v="325"/>
    <n v="3"/>
    <x v="1"/>
    <n v="58"/>
    <n v="3"/>
    <n v="1"/>
    <s v="Laboratory Technician"/>
    <n v="4"/>
    <s v="Married"/>
    <x v="1"/>
    <n v="2436"/>
    <n v="22149"/>
    <n v="5"/>
    <s v="Yes"/>
    <s v="Yes"/>
    <n v="13"/>
    <x v="0"/>
    <n v="3"/>
    <n v="80"/>
    <n v="1"/>
    <n v="8"/>
    <n v="2"/>
    <n v="1"/>
    <n v="5"/>
    <n v="4"/>
    <x v="0"/>
    <n v="4"/>
  </r>
  <r>
    <n v="43"/>
    <x v="1"/>
    <s v="Travel_Rarely"/>
    <n v="1034"/>
    <x v="0"/>
    <n v="16"/>
    <n v="3"/>
    <s v="Marketing"/>
    <n v="1"/>
    <n v="327"/>
    <n v="4"/>
    <x v="0"/>
    <n v="80"/>
    <n v="3"/>
    <n v="4"/>
    <s v="Manager"/>
    <n v="4"/>
    <s v="Married"/>
    <x v="17"/>
    <n v="16064"/>
    <n v="7744"/>
    <n v="5"/>
    <s v="Yes"/>
    <s v="Yes"/>
    <n v="22"/>
    <x v="1"/>
    <n v="3"/>
    <n v="80"/>
    <n v="1"/>
    <n v="22"/>
    <n v="3"/>
    <n v="3"/>
    <n v="17"/>
    <n v="13"/>
    <x v="1"/>
    <n v="9"/>
  </r>
  <r>
    <n v="33"/>
    <x v="0"/>
    <s v="Travel_Rarely"/>
    <n v="465"/>
    <x v="1"/>
    <n v="2"/>
    <n v="2"/>
    <s v="Life Sciences"/>
    <n v="1"/>
    <n v="328"/>
    <n v="1"/>
    <x v="0"/>
    <n v="39"/>
    <n v="3"/>
    <n v="1"/>
    <s v="Laboratory Technician"/>
    <n v="1"/>
    <s v="Married"/>
    <x v="1"/>
    <n v="2707"/>
    <n v="21509"/>
    <n v="7"/>
    <s v="Yes"/>
    <s v="No"/>
    <n v="20"/>
    <x v="1"/>
    <n v="1"/>
    <n v="80"/>
    <n v="0"/>
    <n v="13"/>
    <n v="3"/>
    <n v="4"/>
    <n v="9"/>
    <n v="7"/>
    <x v="1"/>
    <n v="7"/>
  </r>
  <r>
    <n v="52"/>
    <x v="1"/>
    <s v="Non-Travel"/>
    <n v="771"/>
    <x v="0"/>
    <n v="2"/>
    <n v="4"/>
    <s v="Life Sciences"/>
    <n v="1"/>
    <n v="329"/>
    <n v="1"/>
    <x v="1"/>
    <n v="79"/>
    <n v="2"/>
    <n v="5"/>
    <s v="Manager"/>
    <n v="3"/>
    <s v="Single"/>
    <x v="8"/>
    <n v="19068"/>
    <n v="21030"/>
    <n v="1"/>
    <s v="Yes"/>
    <s v="Yes"/>
    <n v="18"/>
    <x v="0"/>
    <n v="4"/>
    <n v="80"/>
    <n v="0"/>
    <n v="33"/>
    <n v="2"/>
    <n v="4"/>
    <n v="33"/>
    <n v="7"/>
    <x v="9"/>
    <n v="12"/>
  </r>
  <r>
    <n v="32"/>
    <x v="1"/>
    <s v="Travel_Rarely"/>
    <n v="1401"/>
    <x v="0"/>
    <n v="4"/>
    <n v="2"/>
    <s v="Life Sciences"/>
    <n v="1"/>
    <n v="330"/>
    <n v="3"/>
    <x v="0"/>
    <n v="56"/>
    <n v="3"/>
    <n v="1"/>
    <s v="Sales Representative"/>
    <n v="2"/>
    <s v="Married"/>
    <x v="2"/>
    <n v="3931"/>
    <n v="20990"/>
    <n v="2"/>
    <s v="Yes"/>
    <s v="No"/>
    <n v="11"/>
    <x v="0"/>
    <n v="1"/>
    <n v="80"/>
    <n v="1"/>
    <n v="6"/>
    <n v="5"/>
    <n v="3"/>
    <n v="4"/>
    <n v="3"/>
    <x v="1"/>
    <n v="2"/>
  </r>
  <r>
    <n v="32"/>
    <x v="0"/>
    <s v="Travel_Rarely"/>
    <n v="515"/>
    <x v="1"/>
    <n v="1"/>
    <n v="3"/>
    <s v="Life Sciences"/>
    <n v="1"/>
    <n v="331"/>
    <n v="4"/>
    <x v="1"/>
    <n v="62"/>
    <n v="2"/>
    <n v="1"/>
    <s v="Laboratory Technician"/>
    <n v="3"/>
    <s v="Single"/>
    <x v="2"/>
    <n v="3730"/>
    <n v="9571"/>
    <n v="0"/>
    <s v="Yes"/>
    <s v="Yes"/>
    <n v="14"/>
    <x v="0"/>
    <n v="4"/>
    <n v="80"/>
    <n v="0"/>
    <n v="4"/>
    <n v="2"/>
    <n v="1"/>
    <n v="3"/>
    <n v="2"/>
    <x v="1"/>
    <n v="2"/>
  </r>
  <r>
    <n v="39"/>
    <x v="1"/>
    <s v="Travel_Rarely"/>
    <n v="1431"/>
    <x v="1"/>
    <n v="1"/>
    <n v="4"/>
    <s v="Medical"/>
    <n v="1"/>
    <n v="332"/>
    <n v="3"/>
    <x v="0"/>
    <n v="96"/>
    <n v="3"/>
    <n v="1"/>
    <s v="Laboratory Technician"/>
    <n v="3"/>
    <s v="Divorced"/>
    <x v="1"/>
    <n v="2232"/>
    <n v="15417"/>
    <n v="7"/>
    <s v="Yes"/>
    <s v="No"/>
    <n v="14"/>
    <x v="0"/>
    <n v="3"/>
    <n v="80"/>
    <n v="3"/>
    <n v="7"/>
    <n v="1"/>
    <n v="3"/>
    <n v="3"/>
    <n v="2"/>
    <x v="1"/>
    <n v="2"/>
  </r>
  <r>
    <n v="32"/>
    <x v="1"/>
    <s v="Non-Travel"/>
    <n v="976"/>
    <x v="0"/>
    <n v="26"/>
    <n v="4"/>
    <s v="Marketing"/>
    <n v="1"/>
    <n v="333"/>
    <n v="3"/>
    <x v="1"/>
    <n v="100"/>
    <n v="3"/>
    <n v="2"/>
    <s v="Sales Executive"/>
    <n v="4"/>
    <s v="Married"/>
    <x v="4"/>
    <n v="4465"/>
    <n v="12069"/>
    <n v="0"/>
    <s v="Yes"/>
    <s v="No"/>
    <n v="18"/>
    <x v="0"/>
    <n v="1"/>
    <n v="80"/>
    <n v="0"/>
    <n v="4"/>
    <n v="2"/>
    <n v="3"/>
    <n v="3"/>
    <n v="2"/>
    <x v="3"/>
    <n v="2"/>
  </r>
  <r>
    <n v="41"/>
    <x v="1"/>
    <s v="Travel_Rarely"/>
    <n v="1411"/>
    <x v="1"/>
    <n v="19"/>
    <n v="2"/>
    <s v="Life Sciences"/>
    <n v="1"/>
    <n v="334"/>
    <n v="3"/>
    <x v="1"/>
    <n v="36"/>
    <n v="3"/>
    <n v="2"/>
    <s v="Research Scientist"/>
    <n v="1"/>
    <s v="Divorced"/>
    <x v="2"/>
    <n v="3072"/>
    <n v="19877"/>
    <n v="2"/>
    <s v="Yes"/>
    <s v="No"/>
    <n v="16"/>
    <x v="0"/>
    <n v="1"/>
    <n v="80"/>
    <n v="2"/>
    <n v="17"/>
    <n v="2"/>
    <n v="2"/>
    <n v="1"/>
    <n v="0"/>
    <x v="0"/>
    <n v="0"/>
  </r>
  <r>
    <n v="40"/>
    <x v="1"/>
    <s v="Travel_Rarely"/>
    <n v="1300"/>
    <x v="1"/>
    <n v="24"/>
    <n v="2"/>
    <s v="Technical Degree"/>
    <n v="1"/>
    <n v="335"/>
    <n v="1"/>
    <x v="1"/>
    <n v="62"/>
    <n v="3"/>
    <n v="2"/>
    <s v="Research Scientist"/>
    <n v="4"/>
    <s v="Divorced"/>
    <x v="2"/>
    <n v="3319"/>
    <n v="24447"/>
    <n v="1"/>
    <s v="Yes"/>
    <s v="No"/>
    <n v="17"/>
    <x v="0"/>
    <n v="1"/>
    <n v="80"/>
    <n v="2"/>
    <n v="9"/>
    <n v="3"/>
    <n v="3"/>
    <n v="9"/>
    <n v="8"/>
    <x v="5"/>
    <n v="7"/>
  </r>
  <r>
    <n v="45"/>
    <x v="1"/>
    <s v="Travel_Rarely"/>
    <n v="252"/>
    <x v="1"/>
    <n v="1"/>
    <n v="3"/>
    <s v="Other"/>
    <n v="1"/>
    <n v="336"/>
    <n v="3"/>
    <x v="1"/>
    <n v="70"/>
    <n v="4"/>
    <n v="5"/>
    <s v="Manager"/>
    <n v="4"/>
    <s v="Married"/>
    <x v="8"/>
    <n v="19202"/>
    <n v="15970"/>
    <n v="0"/>
    <s v="Yes"/>
    <s v="No"/>
    <n v="11"/>
    <x v="0"/>
    <n v="3"/>
    <n v="80"/>
    <n v="1"/>
    <n v="25"/>
    <n v="2"/>
    <n v="3"/>
    <n v="24"/>
    <n v="0"/>
    <x v="1"/>
    <n v="7"/>
  </r>
  <r>
    <n v="31"/>
    <x v="1"/>
    <s v="Travel_Frequently"/>
    <n v="1327"/>
    <x v="1"/>
    <n v="3"/>
    <n v="4"/>
    <s v="Medical"/>
    <n v="1"/>
    <n v="337"/>
    <n v="2"/>
    <x v="1"/>
    <n v="73"/>
    <n v="3"/>
    <n v="3"/>
    <s v="Research Director"/>
    <n v="3"/>
    <s v="Divorced"/>
    <x v="13"/>
    <n v="13675"/>
    <n v="13523"/>
    <n v="9"/>
    <s v="Yes"/>
    <s v="No"/>
    <n v="12"/>
    <x v="0"/>
    <n v="1"/>
    <n v="80"/>
    <n v="1"/>
    <n v="9"/>
    <n v="3"/>
    <n v="3"/>
    <n v="2"/>
    <n v="2"/>
    <x v="3"/>
    <n v="2"/>
  </r>
  <r>
    <n v="33"/>
    <x v="1"/>
    <s v="Travel_Rarely"/>
    <n v="832"/>
    <x v="1"/>
    <n v="5"/>
    <n v="4"/>
    <s v="Life Sciences"/>
    <n v="1"/>
    <n v="338"/>
    <n v="3"/>
    <x v="0"/>
    <n v="63"/>
    <n v="2"/>
    <n v="1"/>
    <s v="Research Scientist"/>
    <n v="4"/>
    <s v="Married"/>
    <x v="1"/>
    <n v="2911"/>
    <n v="14776"/>
    <n v="1"/>
    <s v="Yes"/>
    <s v="No"/>
    <n v="13"/>
    <x v="0"/>
    <n v="3"/>
    <n v="80"/>
    <n v="1"/>
    <n v="2"/>
    <n v="2"/>
    <n v="2"/>
    <n v="2"/>
    <n v="2"/>
    <x v="0"/>
    <n v="2"/>
  </r>
  <r>
    <n v="34"/>
    <x v="1"/>
    <s v="Travel_Rarely"/>
    <n v="470"/>
    <x v="1"/>
    <n v="2"/>
    <n v="4"/>
    <s v="Life Sciences"/>
    <n v="1"/>
    <n v="339"/>
    <n v="4"/>
    <x v="1"/>
    <n v="84"/>
    <n v="2"/>
    <n v="2"/>
    <s v="Manufacturing Director"/>
    <n v="1"/>
    <s v="Married"/>
    <x v="0"/>
    <n v="5957"/>
    <n v="23687"/>
    <n v="6"/>
    <s v="Yes"/>
    <s v="No"/>
    <n v="13"/>
    <x v="0"/>
    <n v="2"/>
    <n v="80"/>
    <n v="1"/>
    <n v="13"/>
    <n v="3"/>
    <n v="3"/>
    <n v="11"/>
    <n v="9"/>
    <x v="8"/>
    <n v="9"/>
  </r>
  <r>
    <n v="37"/>
    <x v="1"/>
    <s v="Travel_Rarely"/>
    <n v="1017"/>
    <x v="1"/>
    <n v="1"/>
    <n v="2"/>
    <s v="Medical"/>
    <n v="1"/>
    <n v="340"/>
    <n v="3"/>
    <x v="0"/>
    <n v="83"/>
    <n v="2"/>
    <n v="1"/>
    <s v="Research Scientist"/>
    <n v="1"/>
    <s v="Married"/>
    <x v="2"/>
    <n v="3920"/>
    <n v="18697"/>
    <n v="2"/>
    <s v="Yes"/>
    <s v="No"/>
    <n v="14"/>
    <x v="0"/>
    <n v="1"/>
    <n v="80"/>
    <n v="1"/>
    <n v="17"/>
    <n v="2"/>
    <n v="2"/>
    <n v="3"/>
    <n v="1"/>
    <x v="0"/>
    <n v="2"/>
  </r>
  <r>
    <n v="45"/>
    <x v="1"/>
    <s v="Travel_Frequently"/>
    <n v="1199"/>
    <x v="1"/>
    <n v="7"/>
    <n v="4"/>
    <s v="Life Sciences"/>
    <n v="1"/>
    <n v="341"/>
    <n v="1"/>
    <x v="1"/>
    <n v="77"/>
    <n v="4"/>
    <n v="2"/>
    <s v="Manufacturing Director"/>
    <n v="3"/>
    <s v="Married"/>
    <x v="9"/>
    <n v="6434"/>
    <n v="5118"/>
    <n v="4"/>
    <s v="Yes"/>
    <s v="No"/>
    <n v="17"/>
    <x v="0"/>
    <n v="4"/>
    <n v="80"/>
    <n v="1"/>
    <n v="9"/>
    <n v="1"/>
    <n v="3"/>
    <n v="3"/>
    <n v="2"/>
    <x v="0"/>
    <n v="2"/>
  </r>
  <r>
    <n v="37"/>
    <x v="0"/>
    <s v="Travel_Frequently"/>
    <n v="504"/>
    <x v="1"/>
    <n v="10"/>
    <n v="3"/>
    <s v="Medical"/>
    <n v="1"/>
    <n v="342"/>
    <n v="1"/>
    <x v="1"/>
    <n v="61"/>
    <n v="3"/>
    <n v="3"/>
    <s v="Manufacturing Director"/>
    <n v="3"/>
    <s v="Divorced"/>
    <x v="10"/>
    <n v="10048"/>
    <n v="22573"/>
    <n v="6"/>
    <s v="Yes"/>
    <s v="No"/>
    <n v="11"/>
    <x v="0"/>
    <n v="2"/>
    <n v="80"/>
    <n v="2"/>
    <n v="17"/>
    <n v="5"/>
    <n v="3"/>
    <n v="1"/>
    <n v="0"/>
    <x v="0"/>
    <n v="0"/>
  </r>
  <r>
    <n v="39"/>
    <x v="1"/>
    <s v="Travel_Frequently"/>
    <n v="505"/>
    <x v="1"/>
    <n v="2"/>
    <n v="4"/>
    <s v="Technical Degree"/>
    <n v="1"/>
    <n v="343"/>
    <n v="3"/>
    <x v="0"/>
    <n v="64"/>
    <n v="3"/>
    <n v="3"/>
    <s v="Healthcare Representative"/>
    <n v="3"/>
    <s v="Single"/>
    <x v="10"/>
    <n v="10938"/>
    <n v="6420"/>
    <n v="0"/>
    <s v="Yes"/>
    <s v="No"/>
    <n v="25"/>
    <x v="1"/>
    <n v="4"/>
    <n v="80"/>
    <n v="0"/>
    <n v="20"/>
    <n v="1"/>
    <n v="3"/>
    <n v="19"/>
    <n v="6"/>
    <x v="14"/>
    <n v="8"/>
  </r>
  <r>
    <n v="29"/>
    <x v="1"/>
    <s v="Travel_Rarely"/>
    <n v="665"/>
    <x v="1"/>
    <n v="15"/>
    <n v="3"/>
    <s v="Life Sciences"/>
    <n v="1"/>
    <n v="346"/>
    <n v="3"/>
    <x v="1"/>
    <n v="60"/>
    <n v="3"/>
    <n v="1"/>
    <s v="Research Scientist"/>
    <n v="4"/>
    <s v="Single"/>
    <x v="1"/>
    <n v="2340"/>
    <n v="22673"/>
    <n v="1"/>
    <s v="Yes"/>
    <s v="No"/>
    <n v="19"/>
    <x v="0"/>
    <n v="1"/>
    <n v="80"/>
    <n v="0"/>
    <n v="6"/>
    <n v="1"/>
    <n v="3"/>
    <n v="6"/>
    <n v="5"/>
    <x v="1"/>
    <n v="5"/>
  </r>
  <r>
    <n v="42"/>
    <x v="1"/>
    <s v="Travel_Rarely"/>
    <n v="916"/>
    <x v="1"/>
    <n v="17"/>
    <n v="2"/>
    <s v="Life Sciences"/>
    <n v="1"/>
    <n v="347"/>
    <n v="4"/>
    <x v="0"/>
    <n v="82"/>
    <n v="4"/>
    <n v="2"/>
    <s v="Research Scientist"/>
    <n v="1"/>
    <s v="Single"/>
    <x v="9"/>
    <n v="6545"/>
    <n v="23016"/>
    <n v="3"/>
    <s v="Yes"/>
    <s v="Yes"/>
    <n v="13"/>
    <x v="0"/>
    <n v="3"/>
    <n v="80"/>
    <n v="0"/>
    <n v="10"/>
    <n v="1"/>
    <n v="3"/>
    <n v="3"/>
    <n v="2"/>
    <x v="0"/>
    <n v="2"/>
  </r>
  <r>
    <n v="29"/>
    <x v="1"/>
    <s v="Travel_Rarely"/>
    <n v="1247"/>
    <x v="0"/>
    <n v="20"/>
    <n v="2"/>
    <s v="Marketing"/>
    <n v="1"/>
    <n v="349"/>
    <n v="4"/>
    <x v="1"/>
    <n v="45"/>
    <n v="3"/>
    <n v="2"/>
    <s v="Sales Executive"/>
    <n v="4"/>
    <s v="Divorced"/>
    <x v="9"/>
    <n v="6931"/>
    <n v="10732"/>
    <n v="2"/>
    <s v="Yes"/>
    <s v="No"/>
    <n v="14"/>
    <x v="0"/>
    <n v="4"/>
    <n v="80"/>
    <n v="1"/>
    <n v="10"/>
    <n v="2"/>
    <n v="3"/>
    <n v="3"/>
    <n v="2"/>
    <x v="0"/>
    <n v="2"/>
  </r>
  <r>
    <n v="25"/>
    <x v="1"/>
    <s v="Travel_Rarely"/>
    <n v="685"/>
    <x v="1"/>
    <n v="1"/>
    <n v="3"/>
    <s v="Life Sciences"/>
    <n v="1"/>
    <n v="350"/>
    <n v="1"/>
    <x v="0"/>
    <n v="62"/>
    <n v="3"/>
    <n v="2"/>
    <s v="Manufacturing Director"/>
    <n v="3"/>
    <s v="Married"/>
    <x v="4"/>
    <n v="4898"/>
    <n v="7505"/>
    <n v="0"/>
    <s v="Yes"/>
    <s v="No"/>
    <n v="12"/>
    <x v="0"/>
    <n v="4"/>
    <n v="80"/>
    <n v="2"/>
    <n v="5"/>
    <n v="3"/>
    <n v="3"/>
    <n v="4"/>
    <n v="2"/>
    <x v="1"/>
    <n v="2"/>
  </r>
  <r>
    <n v="42"/>
    <x v="1"/>
    <s v="Travel_Rarely"/>
    <n v="269"/>
    <x v="1"/>
    <n v="2"/>
    <n v="3"/>
    <s v="Medical"/>
    <n v="1"/>
    <n v="351"/>
    <n v="4"/>
    <x v="0"/>
    <n v="56"/>
    <n v="2"/>
    <n v="1"/>
    <s v="Laboratory Technician"/>
    <n v="1"/>
    <s v="Divorced"/>
    <x v="1"/>
    <n v="2593"/>
    <n v="8007"/>
    <n v="0"/>
    <s v="Yes"/>
    <s v="Yes"/>
    <n v="11"/>
    <x v="0"/>
    <n v="3"/>
    <n v="80"/>
    <n v="1"/>
    <n v="10"/>
    <n v="4"/>
    <n v="3"/>
    <n v="9"/>
    <n v="6"/>
    <x v="4"/>
    <n v="8"/>
  </r>
  <r>
    <n v="40"/>
    <x v="1"/>
    <s v="Travel_Rarely"/>
    <n v="1416"/>
    <x v="1"/>
    <n v="2"/>
    <n v="2"/>
    <s v="Medical"/>
    <n v="1"/>
    <n v="352"/>
    <n v="1"/>
    <x v="1"/>
    <n v="49"/>
    <n v="3"/>
    <n v="5"/>
    <s v="Research Director"/>
    <n v="3"/>
    <s v="Divorced"/>
    <x v="8"/>
    <n v="19436"/>
    <n v="5949"/>
    <n v="0"/>
    <s v="Yes"/>
    <s v="No"/>
    <n v="19"/>
    <x v="0"/>
    <n v="4"/>
    <n v="80"/>
    <n v="1"/>
    <n v="22"/>
    <n v="5"/>
    <n v="3"/>
    <n v="21"/>
    <n v="7"/>
    <x v="2"/>
    <n v="9"/>
  </r>
  <r>
    <n v="51"/>
    <x v="1"/>
    <s v="Travel_Rarely"/>
    <n v="833"/>
    <x v="1"/>
    <n v="1"/>
    <n v="3"/>
    <s v="Life Sciences"/>
    <n v="1"/>
    <n v="353"/>
    <n v="3"/>
    <x v="1"/>
    <n v="96"/>
    <n v="3"/>
    <n v="1"/>
    <s v="Research Scientist"/>
    <n v="4"/>
    <s v="Married"/>
    <x v="1"/>
    <n v="2723"/>
    <n v="23231"/>
    <n v="1"/>
    <s v="Yes"/>
    <s v="No"/>
    <n v="11"/>
    <x v="0"/>
    <n v="2"/>
    <n v="80"/>
    <n v="0"/>
    <n v="1"/>
    <n v="0"/>
    <n v="2"/>
    <n v="1"/>
    <n v="0"/>
    <x v="0"/>
    <n v="0"/>
  </r>
  <r>
    <n v="31"/>
    <x v="0"/>
    <s v="Travel_Frequently"/>
    <n v="307"/>
    <x v="1"/>
    <n v="29"/>
    <n v="2"/>
    <s v="Medical"/>
    <n v="1"/>
    <n v="355"/>
    <n v="3"/>
    <x v="1"/>
    <n v="71"/>
    <n v="2"/>
    <n v="1"/>
    <s v="Laboratory Technician"/>
    <n v="2"/>
    <s v="Single"/>
    <x v="2"/>
    <n v="3479"/>
    <n v="11652"/>
    <n v="0"/>
    <s v="Yes"/>
    <s v="No"/>
    <n v="11"/>
    <x v="0"/>
    <n v="2"/>
    <n v="80"/>
    <n v="0"/>
    <n v="6"/>
    <n v="2"/>
    <n v="4"/>
    <n v="5"/>
    <n v="4"/>
    <x v="1"/>
    <n v="4"/>
  </r>
  <r>
    <n v="32"/>
    <x v="1"/>
    <s v="Travel_Frequently"/>
    <n v="1311"/>
    <x v="1"/>
    <n v="7"/>
    <n v="3"/>
    <s v="Life Sciences"/>
    <n v="1"/>
    <n v="359"/>
    <n v="2"/>
    <x v="1"/>
    <n v="100"/>
    <n v="4"/>
    <n v="1"/>
    <s v="Laboratory Technician"/>
    <n v="2"/>
    <s v="Married"/>
    <x v="1"/>
    <n v="2794"/>
    <n v="26062"/>
    <n v="1"/>
    <s v="Yes"/>
    <s v="No"/>
    <n v="20"/>
    <x v="1"/>
    <n v="3"/>
    <n v="80"/>
    <n v="0"/>
    <n v="5"/>
    <n v="3"/>
    <n v="1"/>
    <n v="5"/>
    <n v="1"/>
    <x v="0"/>
    <n v="3"/>
  </r>
  <r>
    <n v="38"/>
    <x v="1"/>
    <s v="Non-Travel"/>
    <n v="1327"/>
    <x v="0"/>
    <n v="2"/>
    <n v="2"/>
    <s v="Life Sciences"/>
    <n v="1"/>
    <n v="361"/>
    <n v="4"/>
    <x v="1"/>
    <n v="39"/>
    <n v="2"/>
    <n v="2"/>
    <s v="Sales Executive"/>
    <n v="4"/>
    <s v="Married"/>
    <x v="0"/>
    <n v="5249"/>
    <n v="19682"/>
    <n v="3"/>
    <s v="Yes"/>
    <s v="No"/>
    <n v="18"/>
    <x v="0"/>
    <n v="4"/>
    <n v="80"/>
    <n v="1"/>
    <n v="13"/>
    <n v="0"/>
    <n v="3"/>
    <n v="8"/>
    <n v="7"/>
    <x v="4"/>
    <n v="5"/>
  </r>
  <r>
    <n v="32"/>
    <x v="1"/>
    <s v="Travel_Rarely"/>
    <n v="128"/>
    <x v="1"/>
    <n v="2"/>
    <n v="1"/>
    <s v="Technical Degree"/>
    <n v="1"/>
    <n v="362"/>
    <n v="4"/>
    <x v="1"/>
    <n v="84"/>
    <n v="2"/>
    <n v="2"/>
    <s v="Laboratory Technician"/>
    <n v="1"/>
    <s v="Single"/>
    <x v="1"/>
    <n v="2176"/>
    <n v="19737"/>
    <n v="4"/>
    <s v="Yes"/>
    <s v="No"/>
    <n v="13"/>
    <x v="0"/>
    <n v="4"/>
    <n v="80"/>
    <n v="0"/>
    <n v="9"/>
    <n v="5"/>
    <n v="3"/>
    <n v="6"/>
    <n v="2"/>
    <x v="0"/>
    <n v="4"/>
  </r>
  <r>
    <n v="46"/>
    <x v="1"/>
    <s v="Travel_Rarely"/>
    <n v="488"/>
    <x v="0"/>
    <n v="2"/>
    <n v="3"/>
    <s v="Technical Degree"/>
    <n v="1"/>
    <n v="363"/>
    <n v="3"/>
    <x v="0"/>
    <n v="75"/>
    <n v="1"/>
    <n v="4"/>
    <s v="Manager"/>
    <n v="2"/>
    <s v="Married"/>
    <x v="17"/>
    <n v="16872"/>
    <n v="14977"/>
    <n v="3"/>
    <s v="Yes"/>
    <s v="Yes"/>
    <n v="12"/>
    <x v="0"/>
    <n v="2"/>
    <n v="80"/>
    <n v="1"/>
    <n v="28"/>
    <n v="2"/>
    <n v="2"/>
    <n v="7"/>
    <n v="7"/>
    <x v="4"/>
    <n v="7"/>
  </r>
  <r>
    <n v="28"/>
    <x v="0"/>
    <s v="Travel_Rarely"/>
    <n v="529"/>
    <x v="1"/>
    <n v="2"/>
    <n v="4"/>
    <s v="Life Sciences"/>
    <n v="1"/>
    <n v="364"/>
    <n v="1"/>
    <x v="1"/>
    <n v="79"/>
    <n v="3"/>
    <n v="1"/>
    <s v="Laboratory Technician"/>
    <n v="3"/>
    <s v="Single"/>
    <x v="2"/>
    <n v="3485"/>
    <n v="14935"/>
    <n v="2"/>
    <s v="Yes"/>
    <s v="No"/>
    <n v="11"/>
    <x v="0"/>
    <n v="3"/>
    <n v="80"/>
    <n v="0"/>
    <n v="5"/>
    <n v="5"/>
    <n v="1"/>
    <n v="0"/>
    <n v="0"/>
    <x v="0"/>
    <n v="0"/>
  </r>
  <r>
    <n v="29"/>
    <x v="1"/>
    <s v="Travel_Rarely"/>
    <n v="1210"/>
    <x v="0"/>
    <n v="2"/>
    <n v="3"/>
    <s v="Medical"/>
    <n v="1"/>
    <n v="366"/>
    <n v="1"/>
    <x v="1"/>
    <n v="78"/>
    <n v="2"/>
    <n v="2"/>
    <s v="Sales Executive"/>
    <n v="2"/>
    <s v="Married"/>
    <x v="9"/>
    <n v="6644"/>
    <n v="3687"/>
    <n v="2"/>
    <s v="Yes"/>
    <s v="No"/>
    <n v="19"/>
    <x v="0"/>
    <n v="2"/>
    <n v="80"/>
    <n v="2"/>
    <n v="10"/>
    <n v="2"/>
    <n v="3"/>
    <n v="0"/>
    <n v="0"/>
    <x v="0"/>
    <n v="0"/>
  </r>
  <r>
    <n v="31"/>
    <x v="1"/>
    <s v="Travel_Rarely"/>
    <n v="1463"/>
    <x v="1"/>
    <n v="23"/>
    <n v="3"/>
    <s v="Medical"/>
    <n v="1"/>
    <n v="367"/>
    <n v="2"/>
    <x v="1"/>
    <n v="64"/>
    <n v="2"/>
    <n v="2"/>
    <s v="Healthcare Representative"/>
    <n v="4"/>
    <s v="Married"/>
    <x v="0"/>
    <n v="5582"/>
    <n v="14408"/>
    <n v="0"/>
    <s v="Yes"/>
    <s v="No"/>
    <n v="21"/>
    <x v="1"/>
    <n v="2"/>
    <n v="80"/>
    <n v="1"/>
    <n v="10"/>
    <n v="2"/>
    <n v="3"/>
    <n v="9"/>
    <n v="0"/>
    <x v="4"/>
    <n v="8"/>
  </r>
  <r>
    <n v="25"/>
    <x v="1"/>
    <s v="Non-Travel"/>
    <n v="675"/>
    <x v="1"/>
    <n v="5"/>
    <n v="2"/>
    <s v="Life Sciences"/>
    <n v="1"/>
    <n v="369"/>
    <n v="2"/>
    <x v="1"/>
    <n v="85"/>
    <n v="4"/>
    <n v="2"/>
    <s v="Healthcare Representative"/>
    <n v="1"/>
    <s v="Divorced"/>
    <x v="4"/>
    <n v="4000"/>
    <n v="18384"/>
    <n v="1"/>
    <s v="Yes"/>
    <s v="No"/>
    <n v="12"/>
    <x v="0"/>
    <n v="4"/>
    <n v="80"/>
    <n v="2"/>
    <n v="6"/>
    <n v="2"/>
    <n v="3"/>
    <n v="6"/>
    <n v="3"/>
    <x v="1"/>
    <n v="5"/>
  </r>
  <r>
    <n v="45"/>
    <x v="1"/>
    <s v="Travel_Rarely"/>
    <n v="1385"/>
    <x v="1"/>
    <n v="20"/>
    <n v="2"/>
    <s v="Medical"/>
    <n v="1"/>
    <n v="372"/>
    <n v="3"/>
    <x v="1"/>
    <n v="79"/>
    <n v="3"/>
    <n v="4"/>
    <s v="Healthcare Representative"/>
    <n v="4"/>
    <s v="Married"/>
    <x v="13"/>
    <n v="13496"/>
    <n v="7501"/>
    <n v="0"/>
    <s v="Yes"/>
    <s v="Yes"/>
    <n v="14"/>
    <x v="0"/>
    <n v="2"/>
    <n v="80"/>
    <n v="0"/>
    <n v="21"/>
    <n v="2"/>
    <n v="3"/>
    <n v="20"/>
    <n v="7"/>
    <x v="5"/>
    <n v="10"/>
  </r>
  <r>
    <n v="36"/>
    <x v="1"/>
    <s v="Travel_Rarely"/>
    <n v="1403"/>
    <x v="1"/>
    <n v="6"/>
    <n v="3"/>
    <s v="Life Sciences"/>
    <n v="1"/>
    <n v="373"/>
    <n v="4"/>
    <x v="1"/>
    <n v="47"/>
    <n v="3"/>
    <n v="1"/>
    <s v="Laboratory Technician"/>
    <n v="4"/>
    <s v="Married"/>
    <x v="2"/>
    <n v="3210"/>
    <n v="20251"/>
    <n v="0"/>
    <s v="Yes"/>
    <s v="No"/>
    <n v="11"/>
    <x v="0"/>
    <n v="3"/>
    <n v="80"/>
    <n v="1"/>
    <n v="16"/>
    <n v="4"/>
    <n v="3"/>
    <n v="15"/>
    <n v="13"/>
    <x v="13"/>
    <n v="11"/>
  </r>
  <r>
    <n v="55"/>
    <x v="1"/>
    <s v="Travel_Rarely"/>
    <n v="452"/>
    <x v="1"/>
    <n v="1"/>
    <n v="3"/>
    <s v="Medical"/>
    <n v="1"/>
    <n v="374"/>
    <n v="4"/>
    <x v="1"/>
    <n v="81"/>
    <n v="3"/>
    <n v="5"/>
    <s v="Manager"/>
    <n v="1"/>
    <s v="Single"/>
    <x v="8"/>
    <n v="19045"/>
    <n v="18938"/>
    <n v="0"/>
    <s v="Yes"/>
    <s v="Yes"/>
    <n v="14"/>
    <x v="0"/>
    <n v="3"/>
    <n v="80"/>
    <n v="0"/>
    <n v="37"/>
    <n v="2"/>
    <n v="3"/>
    <n v="36"/>
    <n v="10"/>
    <x v="5"/>
    <n v="13"/>
  </r>
  <r>
    <n v="47"/>
    <x v="0"/>
    <s v="Non-Travel"/>
    <n v="666"/>
    <x v="1"/>
    <n v="29"/>
    <n v="4"/>
    <s v="Life Sciences"/>
    <n v="1"/>
    <n v="376"/>
    <n v="1"/>
    <x v="1"/>
    <n v="88"/>
    <n v="3"/>
    <n v="3"/>
    <s v="Manager"/>
    <n v="2"/>
    <s v="Married"/>
    <x v="6"/>
    <n v="11849"/>
    <n v="10268"/>
    <n v="1"/>
    <s v="Yes"/>
    <s v="Yes"/>
    <n v="12"/>
    <x v="0"/>
    <n v="4"/>
    <n v="80"/>
    <n v="1"/>
    <n v="10"/>
    <n v="2"/>
    <n v="2"/>
    <n v="10"/>
    <n v="7"/>
    <x v="10"/>
    <n v="9"/>
  </r>
  <r>
    <n v="28"/>
    <x v="1"/>
    <s v="Travel_Rarely"/>
    <n v="1158"/>
    <x v="1"/>
    <n v="9"/>
    <n v="3"/>
    <s v="Medical"/>
    <n v="1"/>
    <n v="377"/>
    <n v="4"/>
    <x v="1"/>
    <n v="94"/>
    <n v="3"/>
    <n v="1"/>
    <s v="Research Scientist"/>
    <n v="4"/>
    <s v="Married"/>
    <x v="1"/>
    <n v="2070"/>
    <n v="2613"/>
    <n v="1"/>
    <s v="Yes"/>
    <s v="No"/>
    <n v="23"/>
    <x v="1"/>
    <n v="4"/>
    <n v="80"/>
    <n v="1"/>
    <n v="5"/>
    <n v="3"/>
    <n v="2"/>
    <n v="5"/>
    <n v="2"/>
    <x v="0"/>
    <n v="4"/>
  </r>
  <r>
    <n v="37"/>
    <x v="1"/>
    <s v="Travel_Rarely"/>
    <n v="228"/>
    <x v="0"/>
    <n v="6"/>
    <n v="4"/>
    <s v="Medical"/>
    <n v="1"/>
    <n v="378"/>
    <n v="3"/>
    <x v="1"/>
    <n v="98"/>
    <n v="3"/>
    <n v="2"/>
    <s v="Sales Executive"/>
    <n v="4"/>
    <s v="Married"/>
    <x v="9"/>
    <n v="6502"/>
    <n v="22825"/>
    <n v="4"/>
    <s v="Yes"/>
    <s v="No"/>
    <n v="14"/>
    <x v="0"/>
    <n v="2"/>
    <n v="80"/>
    <n v="1"/>
    <n v="7"/>
    <n v="5"/>
    <n v="4"/>
    <n v="5"/>
    <n v="4"/>
    <x v="0"/>
    <n v="1"/>
  </r>
  <r>
    <n v="21"/>
    <x v="1"/>
    <s v="Travel_Rarely"/>
    <n v="996"/>
    <x v="1"/>
    <n v="3"/>
    <n v="2"/>
    <s v="Medical"/>
    <n v="1"/>
    <n v="379"/>
    <n v="4"/>
    <x v="1"/>
    <n v="100"/>
    <n v="2"/>
    <n v="1"/>
    <s v="Research Scientist"/>
    <n v="3"/>
    <s v="Single"/>
    <x v="2"/>
    <n v="3230"/>
    <n v="10531"/>
    <n v="1"/>
    <s v="Yes"/>
    <s v="No"/>
    <n v="17"/>
    <x v="0"/>
    <n v="1"/>
    <n v="80"/>
    <n v="0"/>
    <n v="3"/>
    <n v="4"/>
    <n v="4"/>
    <n v="3"/>
    <n v="2"/>
    <x v="1"/>
    <n v="0"/>
  </r>
  <r>
    <n v="37"/>
    <x v="1"/>
    <s v="Non-Travel"/>
    <n v="728"/>
    <x v="1"/>
    <n v="1"/>
    <n v="4"/>
    <s v="Medical"/>
    <n v="1"/>
    <n v="380"/>
    <n v="1"/>
    <x v="0"/>
    <n v="80"/>
    <n v="3"/>
    <n v="3"/>
    <s v="Research Director"/>
    <n v="4"/>
    <s v="Divorced"/>
    <x v="13"/>
    <n v="13603"/>
    <n v="11677"/>
    <n v="2"/>
    <s v="Yes"/>
    <s v="Yes"/>
    <n v="18"/>
    <x v="0"/>
    <n v="1"/>
    <n v="80"/>
    <n v="2"/>
    <n v="15"/>
    <n v="2"/>
    <n v="3"/>
    <n v="5"/>
    <n v="2"/>
    <x v="0"/>
    <n v="2"/>
  </r>
  <r>
    <n v="35"/>
    <x v="1"/>
    <s v="Travel_Rarely"/>
    <n v="1315"/>
    <x v="1"/>
    <n v="22"/>
    <n v="3"/>
    <s v="Life Sciences"/>
    <n v="1"/>
    <n v="381"/>
    <n v="2"/>
    <x v="0"/>
    <n v="71"/>
    <n v="4"/>
    <n v="3"/>
    <s v="Manager"/>
    <n v="2"/>
    <s v="Divorced"/>
    <x v="6"/>
    <n v="11996"/>
    <n v="19100"/>
    <n v="7"/>
    <s v="Yes"/>
    <s v="No"/>
    <n v="18"/>
    <x v="0"/>
    <n v="2"/>
    <n v="80"/>
    <n v="1"/>
    <n v="10"/>
    <n v="6"/>
    <n v="2"/>
    <n v="7"/>
    <n v="7"/>
    <x v="7"/>
    <n v="2"/>
  </r>
  <r>
    <n v="38"/>
    <x v="1"/>
    <s v="Travel_Rarely"/>
    <n v="322"/>
    <x v="0"/>
    <n v="7"/>
    <n v="2"/>
    <s v="Medical"/>
    <n v="1"/>
    <n v="382"/>
    <n v="1"/>
    <x v="0"/>
    <n v="44"/>
    <n v="4"/>
    <n v="2"/>
    <s v="Sales Executive"/>
    <n v="1"/>
    <s v="Divorced"/>
    <x v="0"/>
    <n v="5605"/>
    <n v="19191"/>
    <n v="1"/>
    <s v="Yes"/>
    <s v="Yes"/>
    <n v="24"/>
    <x v="1"/>
    <n v="3"/>
    <n v="80"/>
    <n v="1"/>
    <n v="8"/>
    <n v="3"/>
    <n v="3"/>
    <n v="8"/>
    <n v="0"/>
    <x v="4"/>
    <n v="7"/>
  </r>
  <r>
    <n v="26"/>
    <x v="1"/>
    <s v="Travel_Frequently"/>
    <n v="1479"/>
    <x v="1"/>
    <n v="1"/>
    <n v="3"/>
    <s v="Life Sciences"/>
    <n v="1"/>
    <n v="384"/>
    <n v="3"/>
    <x v="0"/>
    <n v="84"/>
    <n v="3"/>
    <n v="2"/>
    <s v="Manufacturing Director"/>
    <n v="2"/>
    <s v="Divorced"/>
    <x v="9"/>
    <n v="6397"/>
    <n v="26767"/>
    <n v="1"/>
    <s v="Yes"/>
    <s v="No"/>
    <n v="20"/>
    <x v="1"/>
    <n v="1"/>
    <n v="80"/>
    <n v="1"/>
    <n v="6"/>
    <n v="6"/>
    <n v="1"/>
    <n v="6"/>
    <n v="5"/>
    <x v="1"/>
    <n v="4"/>
  </r>
  <r>
    <n v="50"/>
    <x v="1"/>
    <s v="Travel_Rarely"/>
    <n v="797"/>
    <x v="1"/>
    <n v="4"/>
    <n v="1"/>
    <s v="Life Sciences"/>
    <n v="1"/>
    <n v="385"/>
    <n v="1"/>
    <x v="1"/>
    <n v="96"/>
    <n v="3"/>
    <n v="5"/>
    <s v="Research Director"/>
    <n v="2"/>
    <s v="Divorced"/>
    <x v="8"/>
    <n v="19144"/>
    <n v="15815"/>
    <n v="3"/>
    <s v="Yes"/>
    <s v="No"/>
    <n v="14"/>
    <x v="0"/>
    <n v="1"/>
    <n v="80"/>
    <n v="2"/>
    <n v="28"/>
    <n v="4"/>
    <n v="2"/>
    <n v="10"/>
    <n v="4"/>
    <x v="1"/>
    <n v="6"/>
  </r>
  <r>
    <n v="53"/>
    <x v="1"/>
    <s v="Travel_Rarely"/>
    <n v="1070"/>
    <x v="1"/>
    <n v="3"/>
    <n v="4"/>
    <s v="Medical"/>
    <n v="1"/>
    <n v="386"/>
    <n v="3"/>
    <x v="1"/>
    <n v="45"/>
    <n v="3"/>
    <n v="4"/>
    <s v="Research Director"/>
    <n v="3"/>
    <s v="Married"/>
    <x v="16"/>
    <n v="17584"/>
    <n v="21016"/>
    <n v="3"/>
    <s v="Yes"/>
    <s v="Yes"/>
    <n v="16"/>
    <x v="0"/>
    <n v="4"/>
    <n v="80"/>
    <n v="3"/>
    <n v="21"/>
    <n v="5"/>
    <n v="2"/>
    <n v="5"/>
    <n v="3"/>
    <x v="1"/>
    <n v="3"/>
  </r>
  <r>
    <n v="42"/>
    <x v="1"/>
    <s v="Travel_Rarely"/>
    <n v="635"/>
    <x v="0"/>
    <n v="1"/>
    <n v="1"/>
    <s v="Life Sciences"/>
    <n v="1"/>
    <n v="387"/>
    <n v="2"/>
    <x v="1"/>
    <n v="99"/>
    <n v="3"/>
    <n v="2"/>
    <s v="Sales Executive"/>
    <n v="3"/>
    <s v="Married"/>
    <x v="4"/>
    <n v="4907"/>
    <n v="24532"/>
    <n v="1"/>
    <s v="Yes"/>
    <s v="No"/>
    <n v="25"/>
    <x v="1"/>
    <n v="3"/>
    <n v="80"/>
    <n v="0"/>
    <n v="20"/>
    <n v="3"/>
    <n v="3"/>
    <n v="20"/>
    <n v="16"/>
    <x v="14"/>
    <n v="6"/>
  </r>
  <r>
    <n v="29"/>
    <x v="1"/>
    <s v="Travel_Frequently"/>
    <n v="442"/>
    <x v="0"/>
    <n v="2"/>
    <n v="2"/>
    <s v="Life Sciences"/>
    <n v="1"/>
    <n v="388"/>
    <n v="2"/>
    <x v="1"/>
    <n v="44"/>
    <n v="3"/>
    <n v="2"/>
    <s v="Sales Executive"/>
    <n v="4"/>
    <s v="Single"/>
    <x v="4"/>
    <n v="4554"/>
    <n v="20260"/>
    <n v="1"/>
    <s v="Yes"/>
    <s v="No"/>
    <n v="18"/>
    <x v="0"/>
    <n v="1"/>
    <n v="80"/>
    <n v="0"/>
    <n v="10"/>
    <n v="3"/>
    <n v="2"/>
    <n v="10"/>
    <n v="7"/>
    <x v="0"/>
    <n v="9"/>
  </r>
  <r>
    <n v="55"/>
    <x v="1"/>
    <s v="Travel_Rarely"/>
    <n v="147"/>
    <x v="1"/>
    <n v="20"/>
    <n v="2"/>
    <s v="Technical Degree"/>
    <n v="1"/>
    <n v="389"/>
    <n v="2"/>
    <x v="1"/>
    <n v="37"/>
    <n v="3"/>
    <n v="2"/>
    <s v="Laboratory Technician"/>
    <n v="4"/>
    <s v="Married"/>
    <x v="0"/>
    <n v="5415"/>
    <n v="15972"/>
    <n v="3"/>
    <s v="Yes"/>
    <s v="Yes"/>
    <n v="19"/>
    <x v="0"/>
    <n v="4"/>
    <n v="80"/>
    <n v="1"/>
    <n v="12"/>
    <n v="4"/>
    <n v="3"/>
    <n v="10"/>
    <n v="7"/>
    <x v="0"/>
    <n v="8"/>
  </r>
  <r>
    <n v="26"/>
    <x v="1"/>
    <s v="Travel_Frequently"/>
    <n v="496"/>
    <x v="1"/>
    <n v="11"/>
    <n v="2"/>
    <s v="Medical"/>
    <n v="1"/>
    <n v="390"/>
    <n v="1"/>
    <x v="1"/>
    <n v="60"/>
    <n v="3"/>
    <n v="2"/>
    <s v="Healthcare Representative"/>
    <n v="1"/>
    <s v="Married"/>
    <x v="4"/>
    <n v="4741"/>
    <n v="22722"/>
    <n v="1"/>
    <s v="Yes"/>
    <s v="Yes"/>
    <n v="13"/>
    <x v="0"/>
    <n v="3"/>
    <n v="80"/>
    <n v="1"/>
    <n v="5"/>
    <n v="3"/>
    <n v="3"/>
    <n v="5"/>
    <n v="3"/>
    <x v="2"/>
    <n v="3"/>
  </r>
  <r>
    <n v="37"/>
    <x v="1"/>
    <s v="Travel_Rarely"/>
    <n v="1372"/>
    <x v="1"/>
    <n v="1"/>
    <n v="3"/>
    <s v="Life Sciences"/>
    <n v="1"/>
    <n v="391"/>
    <n v="4"/>
    <x v="0"/>
    <n v="42"/>
    <n v="3"/>
    <n v="1"/>
    <s v="Research Scientist"/>
    <n v="4"/>
    <s v="Single"/>
    <x v="1"/>
    <n v="2115"/>
    <n v="15881"/>
    <n v="1"/>
    <s v="Yes"/>
    <s v="No"/>
    <n v="12"/>
    <x v="0"/>
    <n v="2"/>
    <n v="80"/>
    <n v="0"/>
    <n v="17"/>
    <n v="3"/>
    <n v="3"/>
    <n v="17"/>
    <n v="12"/>
    <x v="8"/>
    <n v="7"/>
  </r>
  <r>
    <n v="44"/>
    <x v="0"/>
    <s v="Travel_Frequently"/>
    <n v="920"/>
    <x v="1"/>
    <n v="24"/>
    <n v="3"/>
    <s v="Life Sciences"/>
    <n v="1"/>
    <n v="392"/>
    <n v="4"/>
    <x v="1"/>
    <n v="43"/>
    <n v="3"/>
    <n v="1"/>
    <s v="Laboratory Technician"/>
    <n v="3"/>
    <s v="Divorced"/>
    <x v="2"/>
    <n v="3161"/>
    <n v="19920"/>
    <n v="3"/>
    <s v="Yes"/>
    <s v="Yes"/>
    <n v="22"/>
    <x v="1"/>
    <n v="4"/>
    <n v="80"/>
    <n v="1"/>
    <n v="19"/>
    <n v="0"/>
    <n v="1"/>
    <n v="1"/>
    <n v="0"/>
    <x v="0"/>
    <n v="0"/>
  </r>
  <r>
    <n v="38"/>
    <x v="1"/>
    <s v="Travel_Rarely"/>
    <n v="688"/>
    <x v="1"/>
    <n v="23"/>
    <n v="4"/>
    <s v="Life Sciences"/>
    <n v="1"/>
    <n v="393"/>
    <n v="4"/>
    <x v="1"/>
    <n v="82"/>
    <n v="3"/>
    <n v="2"/>
    <s v="Healthcare Representative"/>
    <n v="4"/>
    <s v="Divorced"/>
    <x v="0"/>
    <n v="5745"/>
    <n v="18899"/>
    <n v="9"/>
    <s v="Yes"/>
    <s v="No"/>
    <n v="14"/>
    <x v="0"/>
    <n v="2"/>
    <n v="80"/>
    <n v="1"/>
    <n v="10"/>
    <n v="2"/>
    <n v="3"/>
    <n v="2"/>
    <n v="2"/>
    <x v="1"/>
    <n v="2"/>
  </r>
  <r>
    <n v="26"/>
    <x v="0"/>
    <s v="Travel_Rarely"/>
    <n v="1449"/>
    <x v="1"/>
    <n v="16"/>
    <n v="4"/>
    <s v="Medical"/>
    <n v="1"/>
    <n v="394"/>
    <n v="1"/>
    <x v="1"/>
    <n v="45"/>
    <n v="3"/>
    <n v="1"/>
    <s v="Laboratory Technician"/>
    <n v="2"/>
    <s v="Divorced"/>
    <x v="1"/>
    <n v="2373"/>
    <n v="14180"/>
    <n v="2"/>
    <s v="Yes"/>
    <s v="Yes"/>
    <n v="13"/>
    <x v="0"/>
    <n v="4"/>
    <n v="80"/>
    <n v="1"/>
    <n v="5"/>
    <n v="2"/>
    <n v="3"/>
    <n v="3"/>
    <n v="2"/>
    <x v="0"/>
    <n v="2"/>
  </r>
  <r>
    <n v="28"/>
    <x v="1"/>
    <s v="Travel_Rarely"/>
    <n v="1117"/>
    <x v="1"/>
    <n v="8"/>
    <n v="2"/>
    <s v="Life Sciences"/>
    <n v="1"/>
    <n v="395"/>
    <n v="4"/>
    <x v="0"/>
    <n v="66"/>
    <n v="3"/>
    <n v="1"/>
    <s v="Research Scientist"/>
    <n v="4"/>
    <s v="Single"/>
    <x v="2"/>
    <n v="3310"/>
    <n v="4488"/>
    <n v="1"/>
    <s v="Yes"/>
    <s v="No"/>
    <n v="21"/>
    <x v="1"/>
    <n v="4"/>
    <n v="80"/>
    <n v="0"/>
    <n v="5"/>
    <n v="3"/>
    <n v="3"/>
    <n v="5"/>
    <n v="3"/>
    <x v="0"/>
    <n v="2"/>
  </r>
  <r>
    <n v="49"/>
    <x v="1"/>
    <s v="Travel_Frequently"/>
    <n v="636"/>
    <x v="1"/>
    <n v="10"/>
    <n v="4"/>
    <s v="Life Sciences"/>
    <n v="1"/>
    <n v="396"/>
    <n v="3"/>
    <x v="0"/>
    <n v="35"/>
    <n v="3"/>
    <n v="5"/>
    <s v="Research Director"/>
    <n v="1"/>
    <s v="Single"/>
    <x v="11"/>
    <n v="18665"/>
    <n v="25594"/>
    <n v="9"/>
    <s v="Yes"/>
    <s v="Yes"/>
    <n v="11"/>
    <x v="0"/>
    <n v="4"/>
    <n v="80"/>
    <n v="0"/>
    <n v="22"/>
    <n v="4"/>
    <n v="3"/>
    <n v="3"/>
    <n v="2"/>
    <x v="1"/>
    <n v="2"/>
  </r>
  <r>
    <n v="36"/>
    <x v="1"/>
    <s v="Travel_Rarely"/>
    <n v="506"/>
    <x v="1"/>
    <n v="3"/>
    <n v="3"/>
    <s v="Technical Degree"/>
    <n v="1"/>
    <n v="397"/>
    <n v="3"/>
    <x v="1"/>
    <n v="30"/>
    <n v="3"/>
    <n v="2"/>
    <s v="Research Scientist"/>
    <n v="2"/>
    <s v="Single"/>
    <x v="4"/>
    <n v="4485"/>
    <n v="26285"/>
    <n v="4"/>
    <s v="Yes"/>
    <s v="No"/>
    <n v="12"/>
    <x v="0"/>
    <n v="4"/>
    <n v="80"/>
    <n v="0"/>
    <n v="10"/>
    <n v="2"/>
    <n v="3"/>
    <n v="8"/>
    <n v="0"/>
    <x v="4"/>
    <n v="7"/>
  </r>
  <r>
    <n v="31"/>
    <x v="1"/>
    <s v="Travel_Frequently"/>
    <n v="444"/>
    <x v="0"/>
    <n v="5"/>
    <n v="3"/>
    <s v="Marketing"/>
    <n v="1"/>
    <n v="399"/>
    <n v="4"/>
    <x v="0"/>
    <n v="84"/>
    <n v="3"/>
    <n v="1"/>
    <s v="Sales Representative"/>
    <n v="2"/>
    <s v="Divorced"/>
    <x v="1"/>
    <n v="2789"/>
    <n v="3909"/>
    <n v="1"/>
    <s v="Yes"/>
    <s v="No"/>
    <n v="11"/>
    <x v="0"/>
    <n v="3"/>
    <n v="80"/>
    <n v="1"/>
    <n v="2"/>
    <n v="5"/>
    <n v="2"/>
    <n v="2"/>
    <n v="2"/>
    <x v="3"/>
    <n v="2"/>
  </r>
  <r>
    <n v="26"/>
    <x v="0"/>
    <s v="Travel_Rarely"/>
    <n v="950"/>
    <x v="0"/>
    <n v="4"/>
    <n v="4"/>
    <s v="Marketing"/>
    <n v="1"/>
    <n v="401"/>
    <n v="4"/>
    <x v="1"/>
    <n v="48"/>
    <n v="2"/>
    <n v="2"/>
    <s v="Sales Executive"/>
    <n v="4"/>
    <s v="Single"/>
    <x v="0"/>
    <n v="5828"/>
    <n v="8450"/>
    <n v="1"/>
    <s v="Yes"/>
    <s v="Yes"/>
    <n v="12"/>
    <x v="0"/>
    <n v="2"/>
    <n v="80"/>
    <n v="0"/>
    <n v="8"/>
    <n v="0"/>
    <n v="3"/>
    <n v="8"/>
    <n v="7"/>
    <x v="4"/>
    <n v="4"/>
  </r>
  <r>
    <n v="37"/>
    <x v="1"/>
    <s v="Travel_Frequently"/>
    <n v="889"/>
    <x v="1"/>
    <n v="9"/>
    <n v="3"/>
    <s v="Medical"/>
    <n v="1"/>
    <n v="403"/>
    <n v="2"/>
    <x v="1"/>
    <n v="53"/>
    <n v="3"/>
    <n v="1"/>
    <s v="Research Scientist"/>
    <n v="4"/>
    <s v="Married"/>
    <x v="1"/>
    <n v="2326"/>
    <n v="11411"/>
    <n v="1"/>
    <s v="Yes"/>
    <s v="Yes"/>
    <n v="12"/>
    <x v="0"/>
    <n v="3"/>
    <n v="80"/>
    <n v="3"/>
    <n v="4"/>
    <n v="3"/>
    <n v="2"/>
    <n v="4"/>
    <n v="2"/>
    <x v="1"/>
    <n v="2"/>
  </r>
  <r>
    <n v="42"/>
    <x v="1"/>
    <s v="Travel_Frequently"/>
    <n v="555"/>
    <x v="0"/>
    <n v="26"/>
    <n v="3"/>
    <s v="Marketing"/>
    <n v="1"/>
    <n v="404"/>
    <n v="3"/>
    <x v="0"/>
    <n v="77"/>
    <n v="3"/>
    <n v="4"/>
    <s v="Sales Executive"/>
    <n v="2"/>
    <s v="Married"/>
    <x v="13"/>
    <n v="13525"/>
    <n v="14864"/>
    <n v="5"/>
    <s v="Yes"/>
    <s v="No"/>
    <n v="14"/>
    <x v="0"/>
    <n v="4"/>
    <n v="80"/>
    <n v="1"/>
    <n v="23"/>
    <n v="2"/>
    <n v="4"/>
    <n v="20"/>
    <n v="4"/>
    <x v="5"/>
    <n v="8"/>
  </r>
  <r>
    <n v="18"/>
    <x v="0"/>
    <s v="Travel_Rarely"/>
    <n v="230"/>
    <x v="1"/>
    <n v="3"/>
    <n v="3"/>
    <s v="Life Sciences"/>
    <n v="1"/>
    <n v="405"/>
    <n v="3"/>
    <x v="1"/>
    <n v="54"/>
    <n v="3"/>
    <n v="1"/>
    <s v="Laboratory Technician"/>
    <n v="3"/>
    <s v="Single"/>
    <x v="7"/>
    <n v="1420"/>
    <n v="25233"/>
    <n v="1"/>
    <s v="Yes"/>
    <s v="No"/>
    <n v="13"/>
    <x v="0"/>
    <n v="3"/>
    <n v="80"/>
    <n v="0"/>
    <n v="0"/>
    <n v="2"/>
    <n v="3"/>
    <n v="0"/>
    <n v="0"/>
    <x v="0"/>
    <n v="0"/>
  </r>
  <r>
    <n v="35"/>
    <x v="1"/>
    <s v="Travel_Rarely"/>
    <n v="1232"/>
    <x v="0"/>
    <n v="16"/>
    <n v="3"/>
    <s v="Marketing"/>
    <n v="1"/>
    <n v="406"/>
    <n v="3"/>
    <x v="1"/>
    <n v="96"/>
    <n v="3"/>
    <n v="3"/>
    <s v="Sales Executive"/>
    <n v="2"/>
    <s v="Married"/>
    <x v="12"/>
    <n v="8020"/>
    <n v="5100"/>
    <n v="0"/>
    <s v="Yes"/>
    <s v="No"/>
    <n v="15"/>
    <x v="0"/>
    <n v="3"/>
    <n v="80"/>
    <n v="2"/>
    <n v="12"/>
    <n v="3"/>
    <n v="2"/>
    <n v="11"/>
    <n v="9"/>
    <x v="7"/>
    <n v="9"/>
  </r>
  <r>
    <n v="36"/>
    <x v="1"/>
    <s v="Travel_Frequently"/>
    <n v="566"/>
    <x v="1"/>
    <n v="18"/>
    <n v="4"/>
    <s v="Life Sciences"/>
    <n v="1"/>
    <n v="407"/>
    <n v="3"/>
    <x v="1"/>
    <n v="81"/>
    <n v="4"/>
    <n v="1"/>
    <s v="Laboratory Technician"/>
    <n v="4"/>
    <s v="Married"/>
    <x v="2"/>
    <n v="3688"/>
    <n v="7122"/>
    <n v="4"/>
    <s v="Yes"/>
    <s v="No"/>
    <n v="18"/>
    <x v="0"/>
    <n v="4"/>
    <n v="80"/>
    <n v="2"/>
    <n v="4"/>
    <n v="2"/>
    <n v="3"/>
    <n v="1"/>
    <n v="0"/>
    <x v="0"/>
    <n v="0"/>
  </r>
  <r>
    <n v="51"/>
    <x v="1"/>
    <s v="Travel_Rarely"/>
    <n v="1302"/>
    <x v="1"/>
    <n v="2"/>
    <n v="3"/>
    <s v="Medical"/>
    <n v="1"/>
    <n v="408"/>
    <n v="4"/>
    <x v="1"/>
    <n v="84"/>
    <n v="1"/>
    <n v="2"/>
    <s v="Manufacturing Director"/>
    <n v="2"/>
    <s v="Divorced"/>
    <x v="0"/>
    <n v="5482"/>
    <n v="16321"/>
    <n v="5"/>
    <s v="Yes"/>
    <s v="No"/>
    <n v="18"/>
    <x v="0"/>
    <n v="4"/>
    <n v="80"/>
    <n v="1"/>
    <n v="13"/>
    <n v="3"/>
    <n v="3"/>
    <n v="4"/>
    <n v="1"/>
    <x v="1"/>
    <n v="2"/>
  </r>
  <r>
    <n v="41"/>
    <x v="1"/>
    <s v="Travel_Rarely"/>
    <n v="334"/>
    <x v="0"/>
    <n v="2"/>
    <n v="4"/>
    <s v="Life Sciences"/>
    <n v="1"/>
    <n v="410"/>
    <n v="4"/>
    <x v="1"/>
    <n v="88"/>
    <n v="3"/>
    <n v="4"/>
    <s v="Manager"/>
    <n v="2"/>
    <s v="Single"/>
    <x v="17"/>
    <n v="16015"/>
    <n v="15896"/>
    <n v="1"/>
    <s v="Yes"/>
    <s v="No"/>
    <n v="19"/>
    <x v="0"/>
    <n v="2"/>
    <n v="80"/>
    <n v="0"/>
    <n v="22"/>
    <n v="2"/>
    <n v="3"/>
    <n v="22"/>
    <n v="10"/>
    <x v="0"/>
    <n v="4"/>
  </r>
  <r>
    <n v="18"/>
    <x v="1"/>
    <s v="Travel_Rarely"/>
    <n v="812"/>
    <x v="0"/>
    <n v="10"/>
    <n v="3"/>
    <s v="Medical"/>
    <n v="1"/>
    <n v="411"/>
    <n v="4"/>
    <x v="0"/>
    <n v="69"/>
    <n v="2"/>
    <n v="1"/>
    <s v="Sales Representative"/>
    <n v="3"/>
    <s v="Single"/>
    <x v="7"/>
    <n v="1200"/>
    <n v="9724"/>
    <n v="1"/>
    <s v="Yes"/>
    <s v="No"/>
    <n v="12"/>
    <x v="0"/>
    <n v="1"/>
    <n v="80"/>
    <n v="0"/>
    <n v="0"/>
    <n v="2"/>
    <n v="3"/>
    <n v="0"/>
    <n v="0"/>
    <x v="0"/>
    <n v="0"/>
  </r>
  <r>
    <n v="28"/>
    <x v="1"/>
    <s v="Travel_Rarely"/>
    <n v="1476"/>
    <x v="1"/>
    <n v="16"/>
    <n v="2"/>
    <s v="Medical"/>
    <n v="1"/>
    <n v="412"/>
    <n v="2"/>
    <x v="1"/>
    <n v="68"/>
    <n v="4"/>
    <n v="2"/>
    <s v="Healthcare Representative"/>
    <n v="1"/>
    <s v="Single"/>
    <x v="0"/>
    <n v="5661"/>
    <n v="4824"/>
    <n v="0"/>
    <s v="Yes"/>
    <s v="No"/>
    <n v="19"/>
    <x v="0"/>
    <n v="3"/>
    <n v="80"/>
    <n v="0"/>
    <n v="9"/>
    <n v="2"/>
    <n v="3"/>
    <n v="8"/>
    <n v="3"/>
    <x v="0"/>
    <n v="7"/>
  </r>
  <r>
    <n v="31"/>
    <x v="1"/>
    <s v="Travel_Rarely"/>
    <n v="218"/>
    <x v="0"/>
    <n v="7"/>
    <n v="3"/>
    <s v="Technical Degree"/>
    <n v="1"/>
    <n v="416"/>
    <n v="2"/>
    <x v="1"/>
    <n v="100"/>
    <n v="4"/>
    <n v="2"/>
    <s v="Sales Executive"/>
    <n v="4"/>
    <s v="Married"/>
    <x v="9"/>
    <n v="6929"/>
    <n v="12241"/>
    <n v="4"/>
    <s v="Yes"/>
    <s v="No"/>
    <n v="11"/>
    <x v="0"/>
    <n v="2"/>
    <n v="80"/>
    <n v="1"/>
    <n v="10"/>
    <n v="3"/>
    <n v="2"/>
    <n v="8"/>
    <n v="7"/>
    <x v="4"/>
    <n v="7"/>
  </r>
  <r>
    <n v="39"/>
    <x v="1"/>
    <s v="Travel_Rarely"/>
    <n v="1132"/>
    <x v="1"/>
    <n v="1"/>
    <n v="3"/>
    <s v="Medical"/>
    <n v="1"/>
    <n v="417"/>
    <n v="3"/>
    <x v="1"/>
    <n v="48"/>
    <n v="4"/>
    <n v="3"/>
    <s v="Healthcare Representative"/>
    <n v="4"/>
    <s v="Divorced"/>
    <x v="3"/>
    <n v="9613"/>
    <n v="10942"/>
    <n v="0"/>
    <s v="Yes"/>
    <s v="No"/>
    <n v="17"/>
    <x v="0"/>
    <n v="1"/>
    <n v="80"/>
    <n v="3"/>
    <n v="19"/>
    <n v="5"/>
    <n v="2"/>
    <n v="18"/>
    <n v="10"/>
    <x v="2"/>
    <n v="7"/>
  </r>
  <r>
    <n v="36"/>
    <x v="1"/>
    <s v="Non-Travel"/>
    <n v="1105"/>
    <x v="1"/>
    <n v="24"/>
    <n v="4"/>
    <s v="Life Sciences"/>
    <n v="1"/>
    <n v="419"/>
    <n v="2"/>
    <x v="0"/>
    <n v="47"/>
    <n v="3"/>
    <n v="2"/>
    <s v="Laboratory Technician"/>
    <n v="2"/>
    <s v="Married"/>
    <x v="0"/>
    <n v="5674"/>
    <n v="6927"/>
    <n v="7"/>
    <s v="Yes"/>
    <s v="No"/>
    <n v="15"/>
    <x v="0"/>
    <n v="3"/>
    <n v="80"/>
    <n v="1"/>
    <n v="11"/>
    <n v="3"/>
    <n v="3"/>
    <n v="9"/>
    <n v="8"/>
    <x v="0"/>
    <n v="8"/>
  </r>
  <r>
    <n v="32"/>
    <x v="1"/>
    <s v="Travel_Rarely"/>
    <n v="906"/>
    <x v="0"/>
    <n v="7"/>
    <n v="3"/>
    <s v="Life Sciences"/>
    <n v="1"/>
    <n v="420"/>
    <n v="4"/>
    <x v="1"/>
    <n v="91"/>
    <n v="2"/>
    <n v="2"/>
    <s v="Sales Executive"/>
    <n v="3"/>
    <s v="Married"/>
    <x v="0"/>
    <n v="5484"/>
    <n v="16985"/>
    <n v="1"/>
    <s v="Yes"/>
    <s v="No"/>
    <n v="14"/>
    <x v="0"/>
    <n v="3"/>
    <n v="80"/>
    <n v="1"/>
    <n v="13"/>
    <n v="3"/>
    <n v="2"/>
    <n v="13"/>
    <n v="8"/>
    <x v="5"/>
    <n v="8"/>
  </r>
  <r>
    <n v="38"/>
    <x v="1"/>
    <s v="Travel_Rarely"/>
    <n v="849"/>
    <x v="1"/>
    <n v="25"/>
    <n v="2"/>
    <s v="Life Sciences"/>
    <n v="1"/>
    <n v="421"/>
    <n v="1"/>
    <x v="0"/>
    <n v="81"/>
    <n v="2"/>
    <n v="3"/>
    <s v="Research Director"/>
    <n v="2"/>
    <s v="Married"/>
    <x v="18"/>
    <n v="12061"/>
    <n v="26707"/>
    <n v="3"/>
    <s v="Yes"/>
    <s v="No"/>
    <n v="17"/>
    <x v="0"/>
    <n v="3"/>
    <n v="80"/>
    <n v="1"/>
    <n v="19"/>
    <n v="2"/>
    <n v="3"/>
    <n v="10"/>
    <n v="8"/>
    <x v="0"/>
    <n v="1"/>
  </r>
  <r>
    <n v="58"/>
    <x v="1"/>
    <s v="Non-Travel"/>
    <n v="390"/>
    <x v="1"/>
    <n v="1"/>
    <n v="4"/>
    <s v="Life Sciences"/>
    <n v="1"/>
    <n v="422"/>
    <n v="4"/>
    <x v="1"/>
    <n v="32"/>
    <n v="1"/>
    <n v="2"/>
    <s v="Healthcare Representative"/>
    <n v="3"/>
    <s v="Divorced"/>
    <x v="0"/>
    <n v="5660"/>
    <n v="17056"/>
    <n v="2"/>
    <s v="Yes"/>
    <s v="Yes"/>
    <n v="13"/>
    <x v="0"/>
    <n v="4"/>
    <n v="80"/>
    <n v="1"/>
    <n v="12"/>
    <n v="2"/>
    <n v="3"/>
    <n v="5"/>
    <n v="3"/>
    <x v="1"/>
    <n v="2"/>
  </r>
  <r>
    <n v="31"/>
    <x v="1"/>
    <s v="Travel_Rarely"/>
    <n v="691"/>
    <x v="1"/>
    <n v="5"/>
    <n v="4"/>
    <s v="Technical Degree"/>
    <n v="1"/>
    <n v="423"/>
    <n v="3"/>
    <x v="1"/>
    <n v="86"/>
    <n v="3"/>
    <n v="1"/>
    <s v="Research Scientist"/>
    <n v="4"/>
    <s v="Married"/>
    <x v="4"/>
    <n v="4821"/>
    <n v="10077"/>
    <n v="0"/>
    <s v="Yes"/>
    <s v="Yes"/>
    <n v="12"/>
    <x v="0"/>
    <n v="3"/>
    <n v="80"/>
    <n v="1"/>
    <n v="6"/>
    <n v="4"/>
    <n v="3"/>
    <n v="5"/>
    <n v="2"/>
    <x v="0"/>
    <n v="3"/>
  </r>
  <r>
    <n v="31"/>
    <x v="1"/>
    <s v="Travel_Rarely"/>
    <n v="106"/>
    <x v="2"/>
    <n v="2"/>
    <n v="3"/>
    <s v="Human Resources"/>
    <n v="1"/>
    <n v="424"/>
    <n v="1"/>
    <x v="1"/>
    <n v="62"/>
    <n v="2"/>
    <n v="2"/>
    <s v="Human Resources"/>
    <n v="1"/>
    <s v="Married"/>
    <x v="9"/>
    <n v="6410"/>
    <n v="17822"/>
    <n v="3"/>
    <s v="Yes"/>
    <s v="No"/>
    <n v="12"/>
    <x v="0"/>
    <n v="4"/>
    <n v="80"/>
    <n v="0"/>
    <n v="9"/>
    <n v="1"/>
    <n v="3"/>
    <n v="2"/>
    <n v="2"/>
    <x v="1"/>
    <n v="0"/>
  </r>
  <r>
    <n v="45"/>
    <x v="1"/>
    <s v="Travel_Frequently"/>
    <n v="1249"/>
    <x v="1"/>
    <n v="7"/>
    <n v="3"/>
    <s v="Life Sciences"/>
    <n v="1"/>
    <n v="425"/>
    <n v="1"/>
    <x v="1"/>
    <n v="97"/>
    <n v="3"/>
    <n v="3"/>
    <s v="Laboratory Technician"/>
    <n v="1"/>
    <s v="Divorced"/>
    <x v="0"/>
    <n v="5210"/>
    <n v="20308"/>
    <n v="1"/>
    <s v="Yes"/>
    <s v="No"/>
    <n v="18"/>
    <x v="0"/>
    <n v="1"/>
    <n v="80"/>
    <n v="1"/>
    <n v="24"/>
    <n v="2"/>
    <n v="3"/>
    <n v="24"/>
    <n v="9"/>
    <x v="10"/>
    <n v="11"/>
  </r>
  <r>
    <n v="31"/>
    <x v="1"/>
    <s v="Travel_Rarely"/>
    <n v="192"/>
    <x v="1"/>
    <n v="2"/>
    <n v="4"/>
    <s v="Life Sciences"/>
    <n v="1"/>
    <n v="426"/>
    <n v="3"/>
    <x v="1"/>
    <n v="32"/>
    <n v="3"/>
    <n v="1"/>
    <s v="Research Scientist"/>
    <n v="4"/>
    <s v="Divorced"/>
    <x v="1"/>
    <n v="2695"/>
    <n v="7747"/>
    <n v="0"/>
    <s v="Yes"/>
    <s v="Yes"/>
    <n v="18"/>
    <x v="0"/>
    <n v="2"/>
    <n v="80"/>
    <n v="1"/>
    <n v="3"/>
    <n v="2"/>
    <n v="1"/>
    <n v="2"/>
    <n v="2"/>
    <x v="3"/>
    <n v="2"/>
  </r>
  <r>
    <n v="33"/>
    <x v="1"/>
    <s v="Travel_Frequently"/>
    <n v="553"/>
    <x v="1"/>
    <n v="5"/>
    <n v="4"/>
    <s v="Life Sciences"/>
    <n v="1"/>
    <n v="428"/>
    <n v="4"/>
    <x v="0"/>
    <n v="74"/>
    <n v="3"/>
    <n v="3"/>
    <s v="Manager"/>
    <n v="2"/>
    <s v="Married"/>
    <x v="6"/>
    <n v="11878"/>
    <n v="23364"/>
    <n v="6"/>
    <s v="Yes"/>
    <s v="No"/>
    <n v="11"/>
    <x v="0"/>
    <n v="2"/>
    <n v="80"/>
    <n v="2"/>
    <n v="12"/>
    <n v="2"/>
    <n v="3"/>
    <n v="10"/>
    <n v="6"/>
    <x v="6"/>
    <n v="8"/>
  </r>
  <r>
    <n v="39"/>
    <x v="1"/>
    <s v="Travel_Rarely"/>
    <n v="117"/>
    <x v="1"/>
    <n v="10"/>
    <n v="1"/>
    <s v="Medical"/>
    <n v="1"/>
    <n v="429"/>
    <n v="3"/>
    <x v="1"/>
    <n v="99"/>
    <n v="3"/>
    <n v="4"/>
    <s v="Manager"/>
    <n v="1"/>
    <s v="Married"/>
    <x v="16"/>
    <n v="17068"/>
    <n v="5355"/>
    <n v="1"/>
    <s v="Yes"/>
    <s v="Yes"/>
    <n v="14"/>
    <x v="0"/>
    <n v="4"/>
    <n v="80"/>
    <n v="0"/>
    <n v="21"/>
    <n v="3"/>
    <n v="3"/>
    <n v="21"/>
    <n v="9"/>
    <x v="14"/>
    <n v="10"/>
  </r>
  <r>
    <n v="43"/>
    <x v="1"/>
    <s v="Travel_Frequently"/>
    <n v="185"/>
    <x v="1"/>
    <n v="10"/>
    <n v="4"/>
    <s v="Life Sciences"/>
    <n v="1"/>
    <n v="430"/>
    <n v="3"/>
    <x v="0"/>
    <n v="33"/>
    <n v="3"/>
    <n v="1"/>
    <s v="Laboratory Technician"/>
    <n v="4"/>
    <s v="Single"/>
    <x v="1"/>
    <n v="2455"/>
    <n v="10675"/>
    <n v="0"/>
    <s v="Yes"/>
    <s v="No"/>
    <n v="19"/>
    <x v="0"/>
    <n v="1"/>
    <n v="80"/>
    <n v="0"/>
    <n v="9"/>
    <n v="5"/>
    <n v="3"/>
    <n v="8"/>
    <n v="7"/>
    <x v="1"/>
    <n v="7"/>
  </r>
  <r>
    <n v="49"/>
    <x v="1"/>
    <s v="Travel_Rarely"/>
    <n v="1091"/>
    <x v="1"/>
    <n v="1"/>
    <n v="2"/>
    <s v="Technical Degree"/>
    <n v="1"/>
    <n v="431"/>
    <n v="3"/>
    <x v="0"/>
    <n v="90"/>
    <n v="2"/>
    <n v="4"/>
    <s v="Healthcare Representative"/>
    <n v="3"/>
    <s v="Single"/>
    <x v="13"/>
    <n v="13964"/>
    <n v="17810"/>
    <n v="7"/>
    <s v="Yes"/>
    <s v="Yes"/>
    <n v="12"/>
    <x v="0"/>
    <n v="4"/>
    <n v="80"/>
    <n v="0"/>
    <n v="25"/>
    <n v="2"/>
    <n v="3"/>
    <n v="7"/>
    <n v="1"/>
    <x v="0"/>
    <n v="7"/>
  </r>
  <r>
    <n v="52"/>
    <x v="0"/>
    <s v="Travel_Rarely"/>
    <n v="723"/>
    <x v="1"/>
    <n v="8"/>
    <n v="4"/>
    <s v="Medical"/>
    <n v="1"/>
    <n v="433"/>
    <n v="3"/>
    <x v="1"/>
    <n v="85"/>
    <n v="2"/>
    <n v="2"/>
    <s v="Research Scientist"/>
    <n v="2"/>
    <s v="Married"/>
    <x v="4"/>
    <n v="4941"/>
    <n v="17747"/>
    <n v="2"/>
    <s v="Yes"/>
    <s v="No"/>
    <n v="15"/>
    <x v="0"/>
    <n v="1"/>
    <n v="80"/>
    <n v="0"/>
    <n v="11"/>
    <n v="3"/>
    <n v="2"/>
    <n v="8"/>
    <n v="2"/>
    <x v="4"/>
    <n v="7"/>
  </r>
  <r>
    <n v="27"/>
    <x v="1"/>
    <s v="Travel_Rarely"/>
    <n v="1220"/>
    <x v="1"/>
    <n v="5"/>
    <n v="3"/>
    <s v="Life Sciences"/>
    <n v="1"/>
    <n v="434"/>
    <n v="3"/>
    <x v="0"/>
    <n v="85"/>
    <n v="3"/>
    <n v="1"/>
    <s v="Research Scientist"/>
    <n v="2"/>
    <s v="Single"/>
    <x v="1"/>
    <n v="2478"/>
    <n v="20938"/>
    <n v="1"/>
    <s v="Yes"/>
    <s v="Yes"/>
    <n v="12"/>
    <x v="0"/>
    <n v="2"/>
    <n v="80"/>
    <n v="0"/>
    <n v="4"/>
    <n v="2"/>
    <n v="2"/>
    <n v="4"/>
    <n v="3"/>
    <x v="1"/>
    <n v="2"/>
  </r>
  <r>
    <n v="32"/>
    <x v="1"/>
    <s v="Travel_Rarely"/>
    <n v="588"/>
    <x v="0"/>
    <n v="8"/>
    <n v="2"/>
    <s v="Technical Degree"/>
    <n v="1"/>
    <n v="436"/>
    <n v="3"/>
    <x v="0"/>
    <n v="65"/>
    <n v="2"/>
    <n v="2"/>
    <s v="Sales Executive"/>
    <n v="2"/>
    <s v="Married"/>
    <x v="0"/>
    <n v="5228"/>
    <n v="24624"/>
    <n v="1"/>
    <s v="Yes"/>
    <s v="Yes"/>
    <n v="11"/>
    <x v="0"/>
    <n v="4"/>
    <n v="80"/>
    <n v="0"/>
    <n v="13"/>
    <n v="2"/>
    <n v="3"/>
    <n v="13"/>
    <n v="12"/>
    <x v="14"/>
    <n v="9"/>
  </r>
  <r>
    <n v="27"/>
    <x v="1"/>
    <s v="Travel_Rarely"/>
    <n v="1377"/>
    <x v="0"/>
    <n v="2"/>
    <n v="3"/>
    <s v="Life Sciences"/>
    <n v="1"/>
    <n v="437"/>
    <n v="4"/>
    <x v="1"/>
    <n v="74"/>
    <n v="3"/>
    <n v="2"/>
    <s v="Sales Executive"/>
    <n v="3"/>
    <s v="Single"/>
    <x v="4"/>
    <n v="4478"/>
    <n v="5242"/>
    <n v="1"/>
    <s v="Yes"/>
    <s v="Yes"/>
    <n v="11"/>
    <x v="0"/>
    <n v="1"/>
    <n v="80"/>
    <n v="0"/>
    <n v="5"/>
    <n v="3"/>
    <n v="3"/>
    <n v="5"/>
    <n v="4"/>
    <x v="0"/>
    <n v="4"/>
  </r>
  <r>
    <n v="31"/>
    <x v="1"/>
    <s v="Travel_Rarely"/>
    <n v="691"/>
    <x v="0"/>
    <n v="7"/>
    <n v="3"/>
    <s v="Marketing"/>
    <n v="1"/>
    <n v="438"/>
    <n v="4"/>
    <x v="1"/>
    <n v="73"/>
    <n v="3"/>
    <n v="2"/>
    <s v="Sales Executive"/>
    <n v="4"/>
    <s v="Divorced"/>
    <x v="14"/>
    <n v="7547"/>
    <n v="7143"/>
    <n v="4"/>
    <s v="Yes"/>
    <s v="No"/>
    <n v="12"/>
    <x v="0"/>
    <n v="4"/>
    <n v="80"/>
    <n v="3"/>
    <n v="13"/>
    <n v="3"/>
    <n v="3"/>
    <n v="7"/>
    <n v="7"/>
    <x v="1"/>
    <n v="7"/>
  </r>
  <r>
    <n v="32"/>
    <x v="1"/>
    <s v="Travel_Rarely"/>
    <n v="1018"/>
    <x v="1"/>
    <n v="2"/>
    <n v="4"/>
    <s v="Medical"/>
    <n v="1"/>
    <n v="439"/>
    <n v="1"/>
    <x v="0"/>
    <n v="74"/>
    <n v="4"/>
    <n v="2"/>
    <s v="Research Scientist"/>
    <n v="4"/>
    <s v="Single"/>
    <x v="0"/>
    <n v="5055"/>
    <n v="10557"/>
    <n v="7"/>
    <s v="Yes"/>
    <s v="No"/>
    <n v="16"/>
    <x v="0"/>
    <n v="3"/>
    <n v="80"/>
    <n v="0"/>
    <n v="10"/>
    <n v="0"/>
    <n v="2"/>
    <n v="7"/>
    <n v="7"/>
    <x v="0"/>
    <n v="7"/>
  </r>
  <r>
    <n v="28"/>
    <x v="0"/>
    <s v="Travel_Rarely"/>
    <n v="1157"/>
    <x v="1"/>
    <n v="2"/>
    <n v="4"/>
    <s v="Medical"/>
    <n v="1"/>
    <n v="440"/>
    <n v="1"/>
    <x v="1"/>
    <n v="84"/>
    <n v="1"/>
    <n v="1"/>
    <s v="Research Scientist"/>
    <n v="4"/>
    <s v="Married"/>
    <x v="2"/>
    <n v="3464"/>
    <n v="24737"/>
    <n v="5"/>
    <s v="Yes"/>
    <s v="Yes"/>
    <n v="13"/>
    <x v="0"/>
    <n v="4"/>
    <n v="80"/>
    <n v="0"/>
    <n v="5"/>
    <n v="4"/>
    <n v="2"/>
    <n v="3"/>
    <n v="2"/>
    <x v="3"/>
    <n v="2"/>
  </r>
  <r>
    <n v="30"/>
    <x v="1"/>
    <s v="Travel_Rarely"/>
    <n v="1275"/>
    <x v="1"/>
    <n v="28"/>
    <n v="2"/>
    <s v="Medical"/>
    <n v="1"/>
    <n v="441"/>
    <n v="4"/>
    <x v="0"/>
    <n v="64"/>
    <n v="3"/>
    <n v="2"/>
    <s v="Research Scientist"/>
    <n v="4"/>
    <s v="Married"/>
    <x v="0"/>
    <n v="5775"/>
    <n v="11934"/>
    <n v="1"/>
    <s v="Yes"/>
    <s v="No"/>
    <n v="13"/>
    <x v="0"/>
    <n v="4"/>
    <n v="80"/>
    <n v="2"/>
    <n v="11"/>
    <n v="2"/>
    <n v="3"/>
    <n v="10"/>
    <n v="8"/>
    <x v="1"/>
    <n v="9"/>
  </r>
  <r>
    <n v="31"/>
    <x v="1"/>
    <s v="Travel_Frequently"/>
    <n v="798"/>
    <x v="1"/>
    <n v="7"/>
    <n v="2"/>
    <s v="Life Sciences"/>
    <n v="1"/>
    <n v="442"/>
    <n v="3"/>
    <x v="0"/>
    <n v="48"/>
    <n v="2"/>
    <n v="3"/>
    <s v="Manufacturing Director"/>
    <n v="3"/>
    <s v="Married"/>
    <x v="12"/>
    <n v="8943"/>
    <n v="14034"/>
    <n v="1"/>
    <s v="Yes"/>
    <s v="No"/>
    <n v="24"/>
    <x v="1"/>
    <n v="1"/>
    <n v="80"/>
    <n v="1"/>
    <n v="10"/>
    <n v="2"/>
    <n v="3"/>
    <n v="10"/>
    <n v="9"/>
    <x v="6"/>
    <n v="9"/>
  </r>
  <r>
    <n v="39"/>
    <x v="1"/>
    <s v="Travel_Frequently"/>
    <n v="672"/>
    <x v="1"/>
    <n v="7"/>
    <n v="2"/>
    <s v="Medical"/>
    <n v="1"/>
    <n v="444"/>
    <n v="3"/>
    <x v="1"/>
    <n v="54"/>
    <n v="2"/>
    <n v="5"/>
    <s v="Manager"/>
    <n v="4"/>
    <s v="Married"/>
    <x v="8"/>
    <n v="19272"/>
    <n v="21141"/>
    <n v="1"/>
    <s v="Yes"/>
    <s v="No"/>
    <n v="15"/>
    <x v="0"/>
    <n v="1"/>
    <n v="80"/>
    <n v="1"/>
    <n v="21"/>
    <n v="2"/>
    <n v="3"/>
    <n v="21"/>
    <n v="9"/>
    <x v="11"/>
    <n v="3"/>
  </r>
  <r>
    <n v="39"/>
    <x v="0"/>
    <s v="Travel_Rarely"/>
    <n v="1162"/>
    <x v="0"/>
    <n v="3"/>
    <n v="2"/>
    <s v="Medical"/>
    <n v="1"/>
    <n v="445"/>
    <n v="4"/>
    <x v="0"/>
    <n v="41"/>
    <n v="3"/>
    <n v="2"/>
    <s v="Sales Executive"/>
    <n v="3"/>
    <s v="Married"/>
    <x v="0"/>
    <n v="5238"/>
    <n v="17778"/>
    <n v="4"/>
    <s v="Yes"/>
    <s v="Yes"/>
    <n v="18"/>
    <x v="0"/>
    <n v="1"/>
    <n v="80"/>
    <n v="0"/>
    <n v="12"/>
    <n v="3"/>
    <n v="2"/>
    <n v="1"/>
    <n v="0"/>
    <x v="0"/>
    <n v="0"/>
  </r>
  <r>
    <n v="33"/>
    <x v="1"/>
    <s v="Travel_Frequently"/>
    <n v="508"/>
    <x v="0"/>
    <n v="10"/>
    <n v="3"/>
    <s v="Marketing"/>
    <n v="1"/>
    <n v="446"/>
    <n v="2"/>
    <x v="1"/>
    <n v="46"/>
    <n v="2"/>
    <n v="2"/>
    <s v="Sales Executive"/>
    <n v="4"/>
    <s v="Single"/>
    <x v="4"/>
    <n v="4682"/>
    <n v="4317"/>
    <n v="3"/>
    <s v="Yes"/>
    <s v="No"/>
    <n v="14"/>
    <x v="0"/>
    <n v="3"/>
    <n v="80"/>
    <n v="0"/>
    <n v="9"/>
    <n v="6"/>
    <n v="2"/>
    <n v="7"/>
    <n v="7"/>
    <x v="0"/>
    <n v="1"/>
  </r>
  <r>
    <n v="47"/>
    <x v="1"/>
    <s v="Travel_Rarely"/>
    <n v="1482"/>
    <x v="1"/>
    <n v="5"/>
    <n v="5"/>
    <s v="Life Sciences"/>
    <n v="1"/>
    <n v="447"/>
    <n v="4"/>
    <x v="1"/>
    <n v="42"/>
    <n v="3"/>
    <n v="5"/>
    <s v="Research Director"/>
    <n v="3"/>
    <s v="Married"/>
    <x v="11"/>
    <n v="18300"/>
    <n v="16375"/>
    <n v="4"/>
    <s v="Yes"/>
    <s v="No"/>
    <n v="11"/>
    <x v="0"/>
    <n v="2"/>
    <n v="80"/>
    <n v="1"/>
    <n v="21"/>
    <n v="2"/>
    <n v="3"/>
    <n v="3"/>
    <n v="2"/>
    <x v="1"/>
    <n v="1"/>
  </r>
  <r>
    <n v="43"/>
    <x v="1"/>
    <s v="Travel_Frequently"/>
    <n v="559"/>
    <x v="1"/>
    <n v="10"/>
    <n v="4"/>
    <s v="Life Sciences"/>
    <n v="1"/>
    <n v="448"/>
    <n v="3"/>
    <x v="0"/>
    <n v="82"/>
    <n v="2"/>
    <n v="2"/>
    <s v="Laboratory Technician"/>
    <n v="3"/>
    <s v="Divorced"/>
    <x v="0"/>
    <n v="5257"/>
    <n v="6227"/>
    <n v="1"/>
    <s v="Yes"/>
    <s v="No"/>
    <n v="11"/>
    <x v="0"/>
    <n v="2"/>
    <n v="80"/>
    <n v="1"/>
    <n v="9"/>
    <n v="3"/>
    <n v="4"/>
    <n v="9"/>
    <n v="7"/>
    <x v="0"/>
    <n v="0"/>
  </r>
  <r>
    <n v="27"/>
    <x v="1"/>
    <s v="Non-Travel"/>
    <n v="210"/>
    <x v="0"/>
    <n v="1"/>
    <n v="1"/>
    <s v="Marketing"/>
    <n v="1"/>
    <n v="449"/>
    <n v="3"/>
    <x v="1"/>
    <n v="73"/>
    <n v="3"/>
    <n v="2"/>
    <s v="Sales Executive"/>
    <n v="2"/>
    <s v="Married"/>
    <x v="9"/>
    <n v="6349"/>
    <n v="22107"/>
    <n v="0"/>
    <s v="Yes"/>
    <s v="Yes"/>
    <n v="13"/>
    <x v="0"/>
    <n v="4"/>
    <n v="80"/>
    <n v="1"/>
    <n v="6"/>
    <n v="0"/>
    <n v="3"/>
    <n v="5"/>
    <n v="4"/>
    <x v="1"/>
    <n v="4"/>
  </r>
  <r>
    <n v="54"/>
    <x v="1"/>
    <s v="Travel_Frequently"/>
    <n v="928"/>
    <x v="1"/>
    <n v="20"/>
    <n v="4"/>
    <s v="Life Sciences"/>
    <n v="1"/>
    <n v="450"/>
    <n v="4"/>
    <x v="0"/>
    <n v="31"/>
    <n v="3"/>
    <n v="2"/>
    <s v="Research Scientist"/>
    <n v="3"/>
    <s v="Single"/>
    <x v="4"/>
    <n v="4869"/>
    <n v="16885"/>
    <n v="3"/>
    <s v="Yes"/>
    <s v="No"/>
    <n v="12"/>
    <x v="0"/>
    <n v="4"/>
    <n v="80"/>
    <n v="0"/>
    <n v="20"/>
    <n v="4"/>
    <n v="2"/>
    <n v="4"/>
    <n v="3"/>
    <x v="0"/>
    <n v="3"/>
  </r>
  <r>
    <n v="43"/>
    <x v="1"/>
    <s v="Travel_Rarely"/>
    <n v="1001"/>
    <x v="1"/>
    <n v="7"/>
    <n v="3"/>
    <s v="Life Sciences"/>
    <n v="1"/>
    <n v="451"/>
    <n v="3"/>
    <x v="0"/>
    <n v="43"/>
    <n v="3"/>
    <n v="3"/>
    <s v="Healthcare Representative"/>
    <n v="1"/>
    <s v="Married"/>
    <x v="3"/>
    <n v="9985"/>
    <n v="9262"/>
    <n v="8"/>
    <s v="Yes"/>
    <s v="No"/>
    <n v="16"/>
    <x v="0"/>
    <n v="1"/>
    <n v="80"/>
    <n v="1"/>
    <n v="10"/>
    <n v="1"/>
    <n v="2"/>
    <n v="1"/>
    <n v="0"/>
    <x v="0"/>
    <n v="0"/>
  </r>
  <r>
    <n v="45"/>
    <x v="1"/>
    <s v="Travel_Rarely"/>
    <n v="549"/>
    <x v="1"/>
    <n v="8"/>
    <n v="4"/>
    <s v="Other"/>
    <n v="1"/>
    <n v="452"/>
    <n v="4"/>
    <x v="1"/>
    <n v="75"/>
    <n v="3"/>
    <n v="2"/>
    <s v="Research Scientist"/>
    <n v="4"/>
    <s v="Married"/>
    <x v="2"/>
    <n v="3697"/>
    <n v="9278"/>
    <n v="9"/>
    <s v="Yes"/>
    <s v="No"/>
    <n v="14"/>
    <x v="0"/>
    <n v="1"/>
    <n v="80"/>
    <n v="2"/>
    <n v="12"/>
    <n v="3"/>
    <n v="3"/>
    <n v="10"/>
    <n v="9"/>
    <x v="10"/>
    <n v="8"/>
  </r>
  <r>
    <n v="40"/>
    <x v="1"/>
    <s v="Travel_Rarely"/>
    <n v="1124"/>
    <x v="0"/>
    <n v="1"/>
    <n v="2"/>
    <s v="Medical"/>
    <n v="1"/>
    <n v="453"/>
    <n v="2"/>
    <x v="1"/>
    <n v="57"/>
    <n v="1"/>
    <n v="2"/>
    <s v="Sales Executive"/>
    <n v="4"/>
    <s v="Married"/>
    <x v="14"/>
    <n v="7457"/>
    <n v="13273"/>
    <n v="2"/>
    <s v="Yes"/>
    <s v="Yes"/>
    <n v="22"/>
    <x v="1"/>
    <n v="3"/>
    <n v="80"/>
    <n v="3"/>
    <n v="6"/>
    <n v="2"/>
    <n v="2"/>
    <n v="4"/>
    <n v="3"/>
    <x v="0"/>
    <n v="2"/>
  </r>
  <r>
    <n v="29"/>
    <x v="0"/>
    <s v="Travel_Rarely"/>
    <n v="318"/>
    <x v="1"/>
    <n v="8"/>
    <n v="4"/>
    <s v="Other"/>
    <n v="1"/>
    <n v="454"/>
    <n v="2"/>
    <x v="1"/>
    <n v="77"/>
    <n v="1"/>
    <n v="1"/>
    <s v="Laboratory Technician"/>
    <n v="1"/>
    <s v="Married"/>
    <x v="1"/>
    <n v="2119"/>
    <n v="4759"/>
    <n v="1"/>
    <s v="Yes"/>
    <s v="Yes"/>
    <n v="11"/>
    <x v="0"/>
    <n v="4"/>
    <n v="80"/>
    <n v="0"/>
    <n v="7"/>
    <n v="4"/>
    <n v="2"/>
    <n v="7"/>
    <n v="7"/>
    <x v="0"/>
    <n v="7"/>
  </r>
  <r>
    <n v="29"/>
    <x v="1"/>
    <s v="Travel_Rarely"/>
    <n v="738"/>
    <x v="1"/>
    <n v="9"/>
    <n v="5"/>
    <s v="Other"/>
    <n v="1"/>
    <n v="455"/>
    <n v="2"/>
    <x v="1"/>
    <n v="30"/>
    <n v="2"/>
    <n v="1"/>
    <s v="Laboratory Technician"/>
    <n v="4"/>
    <s v="Single"/>
    <x v="2"/>
    <n v="3983"/>
    <n v="7621"/>
    <n v="0"/>
    <s v="Yes"/>
    <s v="No"/>
    <n v="17"/>
    <x v="0"/>
    <n v="3"/>
    <n v="80"/>
    <n v="0"/>
    <n v="4"/>
    <n v="2"/>
    <n v="3"/>
    <n v="3"/>
    <n v="2"/>
    <x v="3"/>
    <n v="2"/>
  </r>
  <r>
    <n v="30"/>
    <x v="1"/>
    <s v="Travel_Rarely"/>
    <n v="570"/>
    <x v="0"/>
    <n v="5"/>
    <n v="3"/>
    <s v="Marketing"/>
    <n v="1"/>
    <n v="456"/>
    <n v="4"/>
    <x v="0"/>
    <n v="30"/>
    <n v="2"/>
    <n v="2"/>
    <s v="Sales Executive"/>
    <n v="3"/>
    <s v="Divorced"/>
    <x v="9"/>
    <n v="6118"/>
    <n v="5431"/>
    <n v="1"/>
    <s v="Yes"/>
    <s v="No"/>
    <n v="13"/>
    <x v="0"/>
    <n v="3"/>
    <n v="80"/>
    <n v="3"/>
    <n v="10"/>
    <n v="2"/>
    <n v="3"/>
    <n v="10"/>
    <n v="9"/>
    <x v="1"/>
    <n v="2"/>
  </r>
  <r>
    <n v="27"/>
    <x v="1"/>
    <s v="Travel_Rarely"/>
    <n v="1130"/>
    <x v="0"/>
    <n v="8"/>
    <n v="4"/>
    <s v="Marketing"/>
    <n v="1"/>
    <n v="458"/>
    <n v="2"/>
    <x v="0"/>
    <n v="56"/>
    <n v="3"/>
    <n v="2"/>
    <s v="Sales Executive"/>
    <n v="2"/>
    <s v="Married"/>
    <x v="9"/>
    <n v="6214"/>
    <n v="3415"/>
    <n v="1"/>
    <s v="Yes"/>
    <s v="No"/>
    <n v="18"/>
    <x v="0"/>
    <n v="1"/>
    <n v="80"/>
    <n v="1"/>
    <n v="8"/>
    <n v="3"/>
    <n v="3"/>
    <n v="8"/>
    <n v="7"/>
    <x v="0"/>
    <n v="7"/>
  </r>
  <r>
    <n v="37"/>
    <x v="1"/>
    <s v="Travel_Rarely"/>
    <n v="1192"/>
    <x v="1"/>
    <n v="5"/>
    <n v="2"/>
    <s v="Medical"/>
    <n v="1"/>
    <n v="460"/>
    <n v="4"/>
    <x v="1"/>
    <n v="61"/>
    <n v="3"/>
    <n v="2"/>
    <s v="Manufacturing Director"/>
    <n v="4"/>
    <s v="Divorced"/>
    <x v="9"/>
    <n v="6347"/>
    <n v="23177"/>
    <n v="7"/>
    <s v="Yes"/>
    <s v="No"/>
    <n v="16"/>
    <x v="0"/>
    <n v="3"/>
    <n v="80"/>
    <n v="2"/>
    <n v="8"/>
    <n v="2"/>
    <n v="2"/>
    <n v="6"/>
    <n v="2"/>
    <x v="0"/>
    <n v="4"/>
  </r>
  <r>
    <n v="38"/>
    <x v="1"/>
    <s v="Travel_Rarely"/>
    <n v="343"/>
    <x v="1"/>
    <n v="15"/>
    <n v="2"/>
    <s v="Life Sciences"/>
    <n v="1"/>
    <n v="461"/>
    <n v="3"/>
    <x v="1"/>
    <n v="92"/>
    <n v="2"/>
    <n v="3"/>
    <s v="Research Director"/>
    <n v="4"/>
    <s v="Divorced"/>
    <x v="6"/>
    <n v="11510"/>
    <n v="15682"/>
    <n v="0"/>
    <s v="Yes"/>
    <s v="Yes"/>
    <n v="14"/>
    <x v="0"/>
    <n v="2"/>
    <n v="80"/>
    <n v="1"/>
    <n v="12"/>
    <n v="3"/>
    <n v="3"/>
    <n v="11"/>
    <n v="10"/>
    <x v="3"/>
    <n v="9"/>
  </r>
  <r>
    <n v="31"/>
    <x v="1"/>
    <s v="Travel_Rarely"/>
    <n v="1232"/>
    <x v="1"/>
    <n v="7"/>
    <n v="4"/>
    <s v="Medical"/>
    <n v="1"/>
    <n v="462"/>
    <n v="3"/>
    <x v="0"/>
    <n v="39"/>
    <n v="3"/>
    <n v="3"/>
    <s v="Manufacturing Director"/>
    <n v="4"/>
    <s v="Single"/>
    <x v="14"/>
    <n v="7143"/>
    <n v="25713"/>
    <n v="1"/>
    <s v="Yes"/>
    <s v="Yes"/>
    <n v="14"/>
    <x v="0"/>
    <n v="3"/>
    <n v="80"/>
    <n v="0"/>
    <n v="11"/>
    <n v="2"/>
    <n v="2"/>
    <n v="11"/>
    <n v="9"/>
    <x v="5"/>
    <n v="10"/>
  </r>
  <r>
    <n v="29"/>
    <x v="1"/>
    <s v="Travel_Rarely"/>
    <n v="144"/>
    <x v="0"/>
    <n v="10"/>
    <n v="1"/>
    <s v="Marketing"/>
    <n v="1"/>
    <n v="463"/>
    <n v="4"/>
    <x v="0"/>
    <n v="39"/>
    <n v="2"/>
    <n v="2"/>
    <s v="Sales Executive"/>
    <n v="2"/>
    <s v="Divorced"/>
    <x v="12"/>
    <n v="8268"/>
    <n v="11866"/>
    <n v="1"/>
    <s v="Yes"/>
    <s v="Yes"/>
    <n v="14"/>
    <x v="0"/>
    <n v="1"/>
    <n v="80"/>
    <n v="2"/>
    <n v="7"/>
    <n v="2"/>
    <n v="3"/>
    <n v="7"/>
    <n v="7"/>
    <x v="1"/>
    <n v="7"/>
  </r>
  <r>
    <n v="35"/>
    <x v="1"/>
    <s v="Travel_Rarely"/>
    <n v="1296"/>
    <x v="1"/>
    <n v="5"/>
    <n v="4"/>
    <s v="Technical Degree"/>
    <n v="1"/>
    <n v="464"/>
    <n v="3"/>
    <x v="1"/>
    <n v="62"/>
    <n v="3"/>
    <n v="3"/>
    <s v="Manufacturing Director"/>
    <n v="2"/>
    <s v="Single"/>
    <x v="12"/>
    <n v="8095"/>
    <n v="18264"/>
    <n v="0"/>
    <s v="Yes"/>
    <s v="No"/>
    <n v="13"/>
    <x v="0"/>
    <n v="4"/>
    <n v="80"/>
    <n v="0"/>
    <n v="17"/>
    <n v="5"/>
    <n v="3"/>
    <n v="16"/>
    <n v="6"/>
    <x v="0"/>
    <n v="13"/>
  </r>
  <r>
    <n v="23"/>
    <x v="1"/>
    <s v="Travel_Rarely"/>
    <n v="1309"/>
    <x v="1"/>
    <n v="26"/>
    <n v="1"/>
    <s v="Life Sciences"/>
    <n v="1"/>
    <n v="465"/>
    <n v="3"/>
    <x v="1"/>
    <n v="83"/>
    <n v="3"/>
    <n v="1"/>
    <s v="Research Scientist"/>
    <n v="4"/>
    <s v="Divorced"/>
    <x v="1"/>
    <n v="2904"/>
    <n v="16092"/>
    <n v="1"/>
    <s v="Yes"/>
    <s v="No"/>
    <n v="12"/>
    <x v="0"/>
    <n v="3"/>
    <n v="80"/>
    <n v="2"/>
    <n v="4"/>
    <n v="2"/>
    <n v="2"/>
    <n v="4"/>
    <n v="2"/>
    <x v="0"/>
    <n v="2"/>
  </r>
  <r>
    <n v="41"/>
    <x v="1"/>
    <s v="Travel_Rarely"/>
    <n v="483"/>
    <x v="1"/>
    <n v="6"/>
    <n v="3"/>
    <s v="Medical"/>
    <n v="1"/>
    <n v="466"/>
    <n v="4"/>
    <x v="1"/>
    <n v="95"/>
    <n v="2"/>
    <n v="2"/>
    <s v="Manufacturing Director"/>
    <n v="2"/>
    <s v="Single"/>
    <x v="9"/>
    <n v="6032"/>
    <n v="10110"/>
    <n v="6"/>
    <s v="Yes"/>
    <s v="Yes"/>
    <n v="15"/>
    <x v="0"/>
    <n v="4"/>
    <n v="80"/>
    <n v="0"/>
    <n v="8"/>
    <n v="3"/>
    <n v="3"/>
    <n v="5"/>
    <n v="4"/>
    <x v="1"/>
    <n v="2"/>
  </r>
  <r>
    <n v="47"/>
    <x v="1"/>
    <s v="Travel_Frequently"/>
    <n v="1309"/>
    <x v="0"/>
    <n v="4"/>
    <n v="1"/>
    <s v="Medical"/>
    <n v="1"/>
    <n v="467"/>
    <n v="2"/>
    <x v="1"/>
    <n v="99"/>
    <n v="3"/>
    <n v="2"/>
    <s v="Sales Representative"/>
    <n v="3"/>
    <s v="Single"/>
    <x v="1"/>
    <n v="2976"/>
    <n v="25751"/>
    <n v="3"/>
    <s v="Yes"/>
    <s v="No"/>
    <n v="19"/>
    <x v="0"/>
    <n v="1"/>
    <n v="80"/>
    <n v="0"/>
    <n v="5"/>
    <n v="3"/>
    <n v="3"/>
    <n v="0"/>
    <n v="0"/>
    <x v="0"/>
    <n v="0"/>
  </r>
  <r>
    <n v="42"/>
    <x v="1"/>
    <s v="Travel_Rarely"/>
    <n v="810"/>
    <x v="1"/>
    <n v="23"/>
    <n v="5"/>
    <s v="Life Sciences"/>
    <n v="1"/>
    <n v="468"/>
    <n v="1"/>
    <x v="0"/>
    <n v="44"/>
    <n v="3"/>
    <n v="4"/>
    <s v="Research Director"/>
    <n v="4"/>
    <s v="Single"/>
    <x v="5"/>
    <n v="15992"/>
    <n v="15901"/>
    <n v="2"/>
    <s v="Yes"/>
    <s v="No"/>
    <n v="14"/>
    <x v="0"/>
    <n v="2"/>
    <n v="80"/>
    <n v="0"/>
    <n v="16"/>
    <n v="2"/>
    <n v="3"/>
    <n v="1"/>
    <n v="0"/>
    <x v="0"/>
    <n v="0"/>
  </r>
  <r>
    <n v="29"/>
    <x v="1"/>
    <s v="Non-Travel"/>
    <n v="746"/>
    <x v="0"/>
    <n v="2"/>
    <n v="3"/>
    <s v="Life Sciences"/>
    <n v="1"/>
    <n v="469"/>
    <n v="4"/>
    <x v="1"/>
    <n v="61"/>
    <n v="3"/>
    <n v="2"/>
    <s v="Sales Executive"/>
    <n v="3"/>
    <s v="Married"/>
    <x v="4"/>
    <n v="4649"/>
    <n v="16928"/>
    <n v="1"/>
    <s v="Yes"/>
    <s v="No"/>
    <n v="14"/>
    <x v="0"/>
    <n v="1"/>
    <n v="80"/>
    <n v="1"/>
    <n v="4"/>
    <n v="3"/>
    <n v="2"/>
    <n v="4"/>
    <n v="3"/>
    <x v="0"/>
    <n v="2"/>
  </r>
  <r>
    <n v="42"/>
    <x v="1"/>
    <s v="Travel_Rarely"/>
    <n v="544"/>
    <x v="2"/>
    <n v="2"/>
    <n v="1"/>
    <s v="Technical Degree"/>
    <n v="1"/>
    <n v="470"/>
    <n v="3"/>
    <x v="1"/>
    <n v="52"/>
    <n v="3"/>
    <n v="1"/>
    <s v="Human Resources"/>
    <n v="3"/>
    <s v="Divorced"/>
    <x v="1"/>
    <n v="2696"/>
    <n v="24017"/>
    <n v="0"/>
    <s v="Yes"/>
    <s v="Yes"/>
    <n v="11"/>
    <x v="0"/>
    <n v="3"/>
    <n v="80"/>
    <n v="1"/>
    <n v="4"/>
    <n v="5"/>
    <n v="3"/>
    <n v="3"/>
    <n v="2"/>
    <x v="1"/>
    <n v="0"/>
  </r>
  <r>
    <n v="32"/>
    <x v="1"/>
    <s v="Travel_Rarely"/>
    <n v="1062"/>
    <x v="1"/>
    <n v="2"/>
    <n v="3"/>
    <s v="Medical"/>
    <n v="1"/>
    <n v="471"/>
    <n v="3"/>
    <x v="0"/>
    <n v="75"/>
    <n v="3"/>
    <n v="1"/>
    <s v="Laboratory Technician"/>
    <n v="2"/>
    <s v="Married"/>
    <x v="1"/>
    <n v="2370"/>
    <n v="3956"/>
    <n v="1"/>
    <s v="Yes"/>
    <s v="No"/>
    <n v="13"/>
    <x v="0"/>
    <n v="3"/>
    <n v="80"/>
    <n v="1"/>
    <n v="8"/>
    <n v="4"/>
    <n v="3"/>
    <n v="8"/>
    <n v="0"/>
    <x v="0"/>
    <n v="7"/>
  </r>
  <r>
    <n v="48"/>
    <x v="1"/>
    <s v="Travel_Rarely"/>
    <n v="530"/>
    <x v="0"/>
    <n v="29"/>
    <n v="1"/>
    <s v="Medical"/>
    <n v="1"/>
    <n v="473"/>
    <n v="1"/>
    <x v="0"/>
    <n v="91"/>
    <n v="3"/>
    <n v="3"/>
    <s v="Manager"/>
    <n v="3"/>
    <s v="Married"/>
    <x v="18"/>
    <n v="12504"/>
    <n v="23978"/>
    <n v="3"/>
    <s v="Yes"/>
    <s v="No"/>
    <n v="21"/>
    <x v="1"/>
    <n v="2"/>
    <n v="80"/>
    <n v="1"/>
    <n v="15"/>
    <n v="3"/>
    <n v="1"/>
    <n v="0"/>
    <n v="0"/>
    <x v="0"/>
    <n v="0"/>
  </r>
  <r>
    <n v="37"/>
    <x v="1"/>
    <s v="Travel_Rarely"/>
    <n v="1319"/>
    <x v="1"/>
    <n v="6"/>
    <n v="3"/>
    <s v="Medical"/>
    <n v="1"/>
    <n v="474"/>
    <n v="3"/>
    <x v="1"/>
    <n v="51"/>
    <n v="4"/>
    <n v="2"/>
    <s v="Research Scientist"/>
    <n v="1"/>
    <s v="Divorced"/>
    <x v="0"/>
    <n v="5974"/>
    <n v="17001"/>
    <n v="4"/>
    <s v="Yes"/>
    <s v="Yes"/>
    <n v="13"/>
    <x v="0"/>
    <n v="1"/>
    <n v="80"/>
    <n v="2"/>
    <n v="13"/>
    <n v="2"/>
    <n v="3"/>
    <n v="7"/>
    <n v="7"/>
    <x v="7"/>
    <n v="7"/>
  </r>
  <r>
    <n v="30"/>
    <x v="1"/>
    <s v="Non-Travel"/>
    <n v="641"/>
    <x v="0"/>
    <n v="25"/>
    <n v="2"/>
    <s v="Technical Degree"/>
    <n v="1"/>
    <n v="475"/>
    <n v="4"/>
    <x v="0"/>
    <n v="85"/>
    <n v="3"/>
    <n v="2"/>
    <s v="Sales Executive"/>
    <n v="3"/>
    <s v="Married"/>
    <x v="4"/>
    <n v="4736"/>
    <n v="6069"/>
    <n v="7"/>
    <s v="Yes"/>
    <s v="Yes"/>
    <n v="12"/>
    <x v="0"/>
    <n v="2"/>
    <n v="80"/>
    <n v="1"/>
    <n v="4"/>
    <n v="2"/>
    <n v="4"/>
    <n v="2"/>
    <n v="2"/>
    <x v="3"/>
    <n v="2"/>
  </r>
  <r>
    <n v="26"/>
    <x v="1"/>
    <s v="Travel_Rarely"/>
    <n v="933"/>
    <x v="0"/>
    <n v="1"/>
    <n v="3"/>
    <s v="Life Sciences"/>
    <n v="1"/>
    <n v="476"/>
    <n v="3"/>
    <x v="1"/>
    <n v="57"/>
    <n v="3"/>
    <n v="2"/>
    <s v="Sales Executive"/>
    <n v="3"/>
    <s v="Married"/>
    <x v="0"/>
    <n v="5296"/>
    <n v="20156"/>
    <n v="1"/>
    <s v="Yes"/>
    <s v="No"/>
    <n v="17"/>
    <x v="0"/>
    <n v="2"/>
    <n v="80"/>
    <n v="1"/>
    <n v="8"/>
    <n v="3"/>
    <n v="3"/>
    <n v="8"/>
    <n v="7"/>
    <x v="4"/>
    <n v="7"/>
  </r>
  <r>
    <n v="42"/>
    <x v="1"/>
    <s v="Travel_Rarely"/>
    <n v="1332"/>
    <x v="1"/>
    <n v="2"/>
    <n v="4"/>
    <s v="Other"/>
    <n v="1"/>
    <n v="477"/>
    <n v="1"/>
    <x v="1"/>
    <n v="98"/>
    <n v="2"/>
    <n v="2"/>
    <s v="Healthcare Representative"/>
    <n v="4"/>
    <s v="Single"/>
    <x v="9"/>
    <n v="6781"/>
    <n v="17078"/>
    <n v="3"/>
    <s v="Yes"/>
    <s v="No"/>
    <n v="23"/>
    <x v="1"/>
    <n v="2"/>
    <n v="80"/>
    <n v="0"/>
    <n v="14"/>
    <n v="6"/>
    <n v="3"/>
    <n v="1"/>
    <n v="0"/>
    <x v="0"/>
    <n v="0"/>
  </r>
  <r>
    <n v="21"/>
    <x v="0"/>
    <s v="Travel_Frequently"/>
    <n v="756"/>
    <x v="0"/>
    <n v="1"/>
    <n v="1"/>
    <s v="Technical Degree"/>
    <n v="1"/>
    <n v="478"/>
    <n v="1"/>
    <x v="0"/>
    <n v="99"/>
    <n v="2"/>
    <n v="1"/>
    <s v="Sales Representative"/>
    <n v="2"/>
    <s v="Single"/>
    <x v="1"/>
    <n v="2174"/>
    <n v="9150"/>
    <n v="1"/>
    <s v="Yes"/>
    <s v="Yes"/>
    <n v="11"/>
    <x v="0"/>
    <n v="3"/>
    <n v="80"/>
    <n v="0"/>
    <n v="3"/>
    <n v="3"/>
    <n v="3"/>
    <n v="3"/>
    <n v="2"/>
    <x v="1"/>
    <n v="2"/>
  </r>
  <r>
    <n v="36"/>
    <x v="1"/>
    <s v="Non-Travel"/>
    <n v="845"/>
    <x v="0"/>
    <n v="1"/>
    <n v="5"/>
    <s v="Medical"/>
    <n v="1"/>
    <n v="479"/>
    <n v="4"/>
    <x v="0"/>
    <n v="45"/>
    <n v="3"/>
    <n v="2"/>
    <s v="Sales Executive"/>
    <n v="4"/>
    <s v="Single"/>
    <x v="9"/>
    <n v="6653"/>
    <n v="15276"/>
    <n v="4"/>
    <s v="Yes"/>
    <s v="No"/>
    <n v="15"/>
    <x v="0"/>
    <n v="2"/>
    <n v="80"/>
    <n v="0"/>
    <n v="7"/>
    <n v="6"/>
    <n v="3"/>
    <n v="1"/>
    <n v="0"/>
    <x v="0"/>
    <n v="0"/>
  </r>
  <r>
    <n v="36"/>
    <x v="1"/>
    <s v="Travel_Frequently"/>
    <n v="541"/>
    <x v="0"/>
    <n v="3"/>
    <n v="4"/>
    <s v="Medical"/>
    <n v="1"/>
    <n v="481"/>
    <n v="1"/>
    <x v="1"/>
    <n v="48"/>
    <n v="2"/>
    <n v="3"/>
    <s v="Sales Executive"/>
    <n v="4"/>
    <s v="Married"/>
    <x v="3"/>
    <n v="9699"/>
    <n v="7246"/>
    <n v="4"/>
    <s v="Yes"/>
    <s v="No"/>
    <n v="11"/>
    <x v="0"/>
    <n v="1"/>
    <n v="80"/>
    <n v="1"/>
    <n v="16"/>
    <n v="2"/>
    <n v="3"/>
    <n v="13"/>
    <n v="9"/>
    <x v="1"/>
    <n v="12"/>
  </r>
  <r>
    <n v="57"/>
    <x v="1"/>
    <s v="Travel_Rarely"/>
    <n v="593"/>
    <x v="1"/>
    <n v="1"/>
    <n v="4"/>
    <s v="Medical"/>
    <n v="1"/>
    <n v="482"/>
    <n v="4"/>
    <x v="1"/>
    <n v="88"/>
    <n v="3"/>
    <n v="2"/>
    <s v="Healthcare Representative"/>
    <n v="3"/>
    <s v="Married"/>
    <x v="9"/>
    <n v="6755"/>
    <n v="2967"/>
    <n v="2"/>
    <s v="Yes"/>
    <s v="No"/>
    <n v="11"/>
    <x v="0"/>
    <n v="3"/>
    <n v="80"/>
    <n v="0"/>
    <n v="15"/>
    <n v="2"/>
    <n v="3"/>
    <n v="3"/>
    <n v="2"/>
    <x v="1"/>
    <n v="2"/>
  </r>
  <r>
    <n v="40"/>
    <x v="1"/>
    <s v="Travel_Rarely"/>
    <n v="1171"/>
    <x v="1"/>
    <n v="10"/>
    <n v="4"/>
    <s v="Life Sciences"/>
    <n v="1"/>
    <n v="483"/>
    <n v="4"/>
    <x v="0"/>
    <n v="46"/>
    <n v="4"/>
    <n v="1"/>
    <s v="Laboratory Technician"/>
    <n v="3"/>
    <s v="Married"/>
    <x v="1"/>
    <n v="2213"/>
    <n v="22495"/>
    <n v="3"/>
    <s v="Yes"/>
    <s v="Yes"/>
    <n v="13"/>
    <x v="0"/>
    <n v="3"/>
    <n v="80"/>
    <n v="1"/>
    <n v="10"/>
    <n v="3"/>
    <n v="3"/>
    <n v="7"/>
    <n v="7"/>
    <x v="1"/>
    <n v="7"/>
  </r>
  <r>
    <n v="21"/>
    <x v="1"/>
    <s v="Non-Travel"/>
    <n v="895"/>
    <x v="0"/>
    <n v="9"/>
    <n v="2"/>
    <s v="Medical"/>
    <n v="1"/>
    <n v="484"/>
    <n v="1"/>
    <x v="1"/>
    <n v="39"/>
    <n v="3"/>
    <n v="1"/>
    <s v="Sales Representative"/>
    <n v="4"/>
    <s v="Single"/>
    <x v="1"/>
    <n v="2610"/>
    <n v="2851"/>
    <n v="1"/>
    <s v="Yes"/>
    <s v="No"/>
    <n v="24"/>
    <x v="1"/>
    <n v="3"/>
    <n v="80"/>
    <n v="0"/>
    <n v="3"/>
    <n v="3"/>
    <n v="2"/>
    <n v="3"/>
    <n v="2"/>
    <x v="3"/>
    <n v="2"/>
  </r>
  <r>
    <n v="33"/>
    <x v="0"/>
    <s v="Travel_Rarely"/>
    <n v="350"/>
    <x v="0"/>
    <n v="5"/>
    <n v="3"/>
    <s v="Marketing"/>
    <n v="1"/>
    <n v="485"/>
    <n v="4"/>
    <x v="0"/>
    <n v="34"/>
    <n v="3"/>
    <n v="1"/>
    <s v="Sales Representative"/>
    <n v="3"/>
    <s v="Single"/>
    <x v="1"/>
    <n v="2851"/>
    <n v="9150"/>
    <n v="1"/>
    <s v="Yes"/>
    <s v="Yes"/>
    <n v="13"/>
    <x v="0"/>
    <n v="2"/>
    <n v="80"/>
    <n v="0"/>
    <n v="1"/>
    <n v="2"/>
    <n v="3"/>
    <n v="1"/>
    <n v="0"/>
    <x v="0"/>
    <n v="0"/>
  </r>
  <r>
    <n v="37"/>
    <x v="1"/>
    <s v="Travel_Rarely"/>
    <n v="921"/>
    <x v="1"/>
    <n v="10"/>
    <n v="3"/>
    <s v="Medical"/>
    <n v="1"/>
    <n v="486"/>
    <n v="3"/>
    <x v="0"/>
    <n v="98"/>
    <n v="3"/>
    <n v="1"/>
    <s v="Laboratory Technician"/>
    <n v="1"/>
    <s v="Married"/>
    <x v="2"/>
    <n v="3452"/>
    <n v="17663"/>
    <n v="6"/>
    <s v="Yes"/>
    <s v="No"/>
    <n v="20"/>
    <x v="1"/>
    <n v="2"/>
    <n v="80"/>
    <n v="1"/>
    <n v="17"/>
    <n v="3"/>
    <n v="3"/>
    <n v="5"/>
    <n v="4"/>
    <x v="0"/>
    <n v="3"/>
  </r>
  <r>
    <n v="46"/>
    <x v="1"/>
    <s v="Non-Travel"/>
    <n v="1144"/>
    <x v="1"/>
    <n v="7"/>
    <n v="4"/>
    <s v="Medical"/>
    <n v="1"/>
    <n v="487"/>
    <n v="3"/>
    <x v="0"/>
    <n v="30"/>
    <n v="3"/>
    <n v="2"/>
    <s v="Manufacturing Director"/>
    <n v="3"/>
    <s v="Married"/>
    <x v="0"/>
    <n v="5258"/>
    <n v="16044"/>
    <n v="2"/>
    <s v="Yes"/>
    <s v="No"/>
    <n v="14"/>
    <x v="0"/>
    <n v="3"/>
    <n v="80"/>
    <n v="0"/>
    <n v="7"/>
    <n v="2"/>
    <n v="4"/>
    <n v="1"/>
    <n v="0"/>
    <x v="0"/>
    <n v="0"/>
  </r>
  <r>
    <n v="41"/>
    <x v="0"/>
    <s v="Travel_Frequently"/>
    <n v="143"/>
    <x v="0"/>
    <n v="4"/>
    <n v="3"/>
    <s v="Marketing"/>
    <n v="1"/>
    <n v="488"/>
    <n v="1"/>
    <x v="1"/>
    <n v="56"/>
    <n v="3"/>
    <n v="2"/>
    <s v="Sales Executive"/>
    <n v="2"/>
    <s v="Single"/>
    <x v="3"/>
    <n v="9355"/>
    <n v="9558"/>
    <n v="1"/>
    <s v="Yes"/>
    <s v="No"/>
    <n v="18"/>
    <x v="0"/>
    <n v="3"/>
    <n v="80"/>
    <n v="0"/>
    <n v="8"/>
    <n v="5"/>
    <n v="3"/>
    <n v="8"/>
    <n v="7"/>
    <x v="4"/>
    <n v="7"/>
  </r>
  <r>
    <n v="50"/>
    <x v="1"/>
    <s v="Travel_Rarely"/>
    <n v="1046"/>
    <x v="1"/>
    <n v="10"/>
    <n v="3"/>
    <s v="Technical Degree"/>
    <n v="1"/>
    <n v="491"/>
    <n v="4"/>
    <x v="1"/>
    <n v="100"/>
    <n v="2"/>
    <n v="3"/>
    <s v="Healthcare Representative"/>
    <n v="4"/>
    <s v="Single"/>
    <x v="10"/>
    <n v="10496"/>
    <n v="2755"/>
    <n v="6"/>
    <s v="Yes"/>
    <s v="No"/>
    <n v="15"/>
    <x v="0"/>
    <n v="4"/>
    <n v="80"/>
    <n v="0"/>
    <n v="20"/>
    <n v="2"/>
    <n v="3"/>
    <n v="4"/>
    <n v="3"/>
    <x v="1"/>
    <n v="3"/>
  </r>
  <r>
    <n v="40"/>
    <x v="0"/>
    <s v="Travel_Rarely"/>
    <n v="575"/>
    <x v="0"/>
    <n v="22"/>
    <n v="2"/>
    <s v="Marketing"/>
    <n v="1"/>
    <n v="492"/>
    <n v="3"/>
    <x v="1"/>
    <n v="68"/>
    <n v="2"/>
    <n v="2"/>
    <s v="Sales Executive"/>
    <n v="3"/>
    <s v="Married"/>
    <x v="9"/>
    <n v="6380"/>
    <n v="6110"/>
    <n v="2"/>
    <s v="Yes"/>
    <s v="Yes"/>
    <n v="12"/>
    <x v="0"/>
    <n v="1"/>
    <n v="80"/>
    <n v="2"/>
    <n v="8"/>
    <n v="6"/>
    <n v="3"/>
    <n v="6"/>
    <n v="4"/>
    <x v="1"/>
    <n v="0"/>
  </r>
  <r>
    <n v="31"/>
    <x v="1"/>
    <s v="Travel_Rarely"/>
    <n v="408"/>
    <x v="1"/>
    <n v="9"/>
    <n v="4"/>
    <s v="Life Sciences"/>
    <n v="1"/>
    <n v="493"/>
    <n v="3"/>
    <x v="1"/>
    <n v="42"/>
    <n v="2"/>
    <n v="1"/>
    <s v="Research Scientist"/>
    <n v="2"/>
    <s v="Single"/>
    <x v="1"/>
    <n v="2657"/>
    <n v="7551"/>
    <n v="0"/>
    <s v="Yes"/>
    <s v="Yes"/>
    <n v="16"/>
    <x v="0"/>
    <n v="4"/>
    <n v="80"/>
    <n v="0"/>
    <n v="3"/>
    <n v="5"/>
    <n v="3"/>
    <n v="2"/>
    <n v="2"/>
    <x v="3"/>
    <n v="2"/>
  </r>
  <r>
    <n v="21"/>
    <x v="0"/>
    <s v="Travel_Rarely"/>
    <n v="156"/>
    <x v="0"/>
    <n v="12"/>
    <n v="3"/>
    <s v="Life Sciences"/>
    <n v="1"/>
    <n v="494"/>
    <n v="3"/>
    <x v="0"/>
    <n v="90"/>
    <n v="4"/>
    <n v="1"/>
    <s v="Sales Representative"/>
    <n v="2"/>
    <s v="Single"/>
    <x v="1"/>
    <n v="2716"/>
    <n v="25422"/>
    <n v="1"/>
    <s v="Yes"/>
    <s v="No"/>
    <n v="15"/>
    <x v="0"/>
    <n v="4"/>
    <n v="80"/>
    <n v="0"/>
    <n v="1"/>
    <n v="0"/>
    <n v="3"/>
    <n v="1"/>
    <n v="0"/>
    <x v="0"/>
    <n v="0"/>
  </r>
  <r>
    <n v="29"/>
    <x v="1"/>
    <s v="Travel_Rarely"/>
    <n v="1283"/>
    <x v="1"/>
    <n v="23"/>
    <n v="3"/>
    <s v="Life Sciences"/>
    <n v="1"/>
    <n v="495"/>
    <n v="4"/>
    <x v="1"/>
    <n v="54"/>
    <n v="3"/>
    <n v="1"/>
    <s v="Research Scientist"/>
    <n v="4"/>
    <s v="Single"/>
    <x v="1"/>
    <n v="2201"/>
    <n v="18168"/>
    <n v="9"/>
    <s v="Yes"/>
    <s v="No"/>
    <n v="16"/>
    <x v="0"/>
    <n v="4"/>
    <n v="80"/>
    <n v="0"/>
    <n v="6"/>
    <n v="4"/>
    <n v="3"/>
    <n v="3"/>
    <n v="2"/>
    <x v="1"/>
    <n v="2"/>
  </r>
  <r>
    <n v="35"/>
    <x v="1"/>
    <s v="Travel_Rarely"/>
    <n v="755"/>
    <x v="1"/>
    <n v="9"/>
    <n v="4"/>
    <s v="Life Sciences"/>
    <n v="1"/>
    <n v="496"/>
    <n v="3"/>
    <x v="1"/>
    <n v="97"/>
    <n v="2"/>
    <n v="2"/>
    <s v="Healthcare Representative"/>
    <n v="2"/>
    <s v="Single"/>
    <x v="9"/>
    <n v="6540"/>
    <n v="19394"/>
    <n v="9"/>
    <s v="Yes"/>
    <s v="No"/>
    <n v="19"/>
    <x v="0"/>
    <n v="3"/>
    <n v="80"/>
    <n v="0"/>
    <n v="10"/>
    <n v="5"/>
    <n v="3"/>
    <n v="1"/>
    <n v="1"/>
    <x v="0"/>
    <n v="0"/>
  </r>
  <r>
    <n v="27"/>
    <x v="1"/>
    <s v="Travel_Rarely"/>
    <n v="1469"/>
    <x v="1"/>
    <n v="1"/>
    <n v="2"/>
    <s v="Medical"/>
    <n v="1"/>
    <n v="497"/>
    <n v="4"/>
    <x v="1"/>
    <n v="82"/>
    <n v="3"/>
    <n v="1"/>
    <s v="Laboratory Technician"/>
    <n v="2"/>
    <s v="Divorced"/>
    <x v="2"/>
    <n v="3816"/>
    <n v="17881"/>
    <n v="1"/>
    <s v="Yes"/>
    <s v="No"/>
    <n v="11"/>
    <x v="0"/>
    <n v="2"/>
    <n v="80"/>
    <n v="1"/>
    <n v="5"/>
    <n v="2"/>
    <n v="3"/>
    <n v="5"/>
    <n v="2"/>
    <x v="0"/>
    <n v="4"/>
  </r>
  <r>
    <n v="28"/>
    <x v="1"/>
    <s v="Travel_Rarely"/>
    <n v="304"/>
    <x v="0"/>
    <n v="9"/>
    <n v="4"/>
    <s v="Life Sciences"/>
    <n v="1"/>
    <n v="498"/>
    <n v="2"/>
    <x v="1"/>
    <n v="92"/>
    <n v="3"/>
    <n v="2"/>
    <s v="Sales Executive"/>
    <n v="4"/>
    <s v="Single"/>
    <x v="0"/>
    <n v="5253"/>
    <n v="20750"/>
    <n v="1"/>
    <s v="Yes"/>
    <s v="No"/>
    <n v="16"/>
    <x v="0"/>
    <n v="4"/>
    <n v="80"/>
    <n v="0"/>
    <n v="7"/>
    <n v="1"/>
    <n v="3"/>
    <n v="7"/>
    <n v="5"/>
    <x v="0"/>
    <n v="7"/>
  </r>
  <r>
    <n v="49"/>
    <x v="1"/>
    <s v="Travel_Rarely"/>
    <n v="1261"/>
    <x v="1"/>
    <n v="7"/>
    <n v="3"/>
    <s v="Other"/>
    <n v="1"/>
    <n v="499"/>
    <n v="2"/>
    <x v="1"/>
    <n v="31"/>
    <n v="2"/>
    <n v="3"/>
    <s v="Healthcare Representative"/>
    <n v="3"/>
    <s v="Single"/>
    <x v="10"/>
    <n v="10965"/>
    <n v="12066"/>
    <n v="8"/>
    <s v="Yes"/>
    <s v="No"/>
    <n v="24"/>
    <x v="1"/>
    <n v="3"/>
    <n v="80"/>
    <n v="0"/>
    <n v="26"/>
    <n v="2"/>
    <n v="3"/>
    <n v="5"/>
    <n v="2"/>
    <x v="0"/>
    <n v="0"/>
  </r>
  <r>
    <n v="51"/>
    <x v="1"/>
    <s v="Travel_Rarely"/>
    <n v="1178"/>
    <x v="0"/>
    <n v="14"/>
    <n v="2"/>
    <s v="Life Sciences"/>
    <n v="1"/>
    <n v="500"/>
    <n v="3"/>
    <x v="0"/>
    <n v="87"/>
    <n v="3"/>
    <n v="2"/>
    <s v="Sales Executive"/>
    <n v="4"/>
    <s v="Married"/>
    <x v="4"/>
    <n v="4936"/>
    <n v="14862"/>
    <n v="4"/>
    <s v="Yes"/>
    <s v="No"/>
    <n v="11"/>
    <x v="0"/>
    <n v="3"/>
    <n v="80"/>
    <n v="1"/>
    <n v="18"/>
    <n v="2"/>
    <n v="2"/>
    <n v="7"/>
    <n v="7"/>
    <x v="0"/>
    <n v="7"/>
  </r>
  <r>
    <n v="36"/>
    <x v="1"/>
    <s v="Travel_Rarely"/>
    <n v="329"/>
    <x v="1"/>
    <n v="2"/>
    <n v="3"/>
    <s v="Life Sciences"/>
    <n v="1"/>
    <n v="501"/>
    <n v="4"/>
    <x v="0"/>
    <n v="96"/>
    <n v="3"/>
    <n v="1"/>
    <s v="Research Scientist"/>
    <n v="3"/>
    <s v="Married"/>
    <x v="1"/>
    <n v="2543"/>
    <n v="11868"/>
    <n v="4"/>
    <s v="Yes"/>
    <s v="No"/>
    <n v="13"/>
    <x v="0"/>
    <n v="2"/>
    <n v="80"/>
    <n v="1"/>
    <n v="6"/>
    <n v="3"/>
    <n v="3"/>
    <n v="2"/>
    <n v="2"/>
    <x v="3"/>
    <n v="2"/>
  </r>
  <r>
    <n v="34"/>
    <x v="0"/>
    <s v="Non-Travel"/>
    <n v="1362"/>
    <x v="0"/>
    <n v="19"/>
    <n v="3"/>
    <s v="Marketing"/>
    <n v="1"/>
    <n v="502"/>
    <n v="1"/>
    <x v="1"/>
    <n v="67"/>
    <n v="4"/>
    <n v="2"/>
    <s v="Sales Executive"/>
    <n v="4"/>
    <s v="Single"/>
    <x v="0"/>
    <n v="5304"/>
    <n v="4652"/>
    <n v="8"/>
    <s v="Yes"/>
    <s v="Yes"/>
    <n v="13"/>
    <x v="0"/>
    <n v="2"/>
    <n v="80"/>
    <n v="0"/>
    <n v="9"/>
    <n v="3"/>
    <n v="2"/>
    <n v="5"/>
    <n v="2"/>
    <x v="0"/>
    <n v="4"/>
  </r>
  <r>
    <n v="55"/>
    <x v="1"/>
    <s v="Travel_Rarely"/>
    <n v="1311"/>
    <x v="1"/>
    <n v="2"/>
    <n v="3"/>
    <s v="Life Sciences"/>
    <n v="1"/>
    <n v="505"/>
    <n v="3"/>
    <x v="0"/>
    <n v="97"/>
    <n v="3"/>
    <n v="4"/>
    <s v="Manager"/>
    <n v="4"/>
    <s v="Single"/>
    <x v="17"/>
    <n v="16659"/>
    <n v="23258"/>
    <n v="2"/>
    <s v="Yes"/>
    <s v="Yes"/>
    <n v="13"/>
    <x v="0"/>
    <n v="3"/>
    <n v="80"/>
    <n v="0"/>
    <n v="30"/>
    <n v="2"/>
    <n v="3"/>
    <n v="5"/>
    <n v="4"/>
    <x v="1"/>
    <n v="2"/>
  </r>
  <r>
    <n v="24"/>
    <x v="1"/>
    <s v="Travel_Rarely"/>
    <n v="1371"/>
    <x v="0"/>
    <n v="10"/>
    <n v="4"/>
    <s v="Marketing"/>
    <n v="1"/>
    <n v="507"/>
    <n v="4"/>
    <x v="0"/>
    <n v="77"/>
    <n v="3"/>
    <n v="2"/>
    <s v="Sales Executive"/>
    <n v="3"/>
    <s v="Divorced"/>
    <x v="4"/>
    <n v="4260"/>
    <n v="5915"/>
    <n v="1"/>
    <s v="Yes"/>
    <s v="Yes"/>
    <n v="12"/>
    <x v="0"/>
    <n v="4"/>
    <n v="80"/>
    <n v="1"/>
    <n v="5"/>
    <n v="2"/>
    <n v="4"/>
    <n v="5"/>
    <n v="2"/>
    <x v="0"/>
    <n v="3"/>
  </r>
  <r>
    <n v="30"/>
    <x v="1"/>
    <s v="Travel_Rarely"/>
    <n v="202"/>
    <x v="0"/>
    <n v="2"/>
    <n v="1"/>
    <s v="Technical Degree"/>
    <n v="1"/>
    <n v="508"/>
    <n v="3"/>
    <x v="1"/>
    <n v="72"/>
    <n v="3"/>
    <n v="1"/>
    <s v="Sales Representative"/>
    <n v="2"/>
    <s v="Married"/>
    <x v="1"/>
    <n v="2476"/>
    <n v="17434"/>
    <n v="1"/>
    <s v="Yes"/>
    <s v="No"/>
    <n v="18"/>
    <x v="0"/>
    <n v="1"/>
    <n v="80"/>
    <n v="1"/>
    <n v="1"/>
    <n v="3"/>
    <n v="3"/>
    <n v="1"/>
    <n v="0"/>
    <x v="0"/>
    <n v="0"/>
  </r>
  <r>
    <n v="26"/>
    <x v="0"/>
    <s v="Travel_Frequently"/>
    <n v="575"/>
    <x v="1"/>
    <n v="3"/>
    <n v="1"/>
    <s v="Technical Degree"/>
    <n v="1"/>
    <n v="510"/>
    <n v="3"/>
    <x v="1"/>
    <n v="73"/>
    <n v="3"/>
    <n v="1"/>
    <s v="Research Scientist"/>
    <n v="1"/>
    <s v="Single"/>
    <x v="2"/>
    <n v="3102"/>
    <n v="6582"/>
    <n v="0"/>
    <s v="Yes"/>
    <s v="No"/>
    <n v="22"/>
    <x v="1"/>
    <n v="3"/>
    <n v="80"/>
    <n v="0"/>
    <n v="7"/>
    <n v="2"/>
    <n v="3"/>
    <n v="6"/>
    <n v="4"/>
    <x v="0"/>
    <n v="4"/>
  </r>
  <r>
    <n v="22"/>
    <x v="1"/>
    <s v="Travel_Rarely"/>
    <n v="253"/>
    <x v="1"/>
    <n v="11"/>
    <n v="3"/>
    <s v="Medical"/>
    <n v="1"/>
    <n v="511"/>
    <n v="1"/>
    <x v="0"/>
    <n v="43"/>
    <n v="3"/>
    <n v="1"/>
    <s v="Research Scientist"/>
    <n v="2"/>
    <s v="Married"/>
    <x v="1"/>
    <n v="2244"/>
    <n v="24440"/>
    <n v="1"/>
    <s v="Yes"/>
    <s v="No"/>
    <n v="13"/>
    <x v="0"/>
    <n v="4"/>
    <n v="80"/>
    <n v="1"/>
    <n v="2"/>
    <n v="1"/>
    <n v="3"/>
    <n v="2"/>
    <n v="1"/>
    <x v="1"/>
    <n v="2"/>
  </r>
  <r>
    <n v="36"/>
    <x v="1"/>
    <s v="Travel_Rarely"/>
    <n v="164"/>
    <x v="0"/>
    <n v="2"/>
    <n v="2"/>
    <s v="Medical"/>
    <n v="1"/>
    <n v="513"/>
    <n v="2"/>
    <x v="1"/>
    <n v="61"/>
    <n v="2"/>
    <n v="3"/>
    <s v="Sales Executive"/>
    <n v="3"/>
    <s v="Married"/>
    <x v="14"/>
    <n v="7596"/>
    <n v="3809"/>
    <n v="1"/>
    <s v="Yes"/>
    <s v="No"/>
    <n v="13"/>
    <x v="0"/>
    <n v="2"/>
    <n v="80"/>
    <n v="2"/>
    <n v="10"/>
    <n v="2"/>
    <n v="3"/>
    <n v="10"/>
    <n v="9"/>
    <x v="10"/>
    <n v="0"/>
  </r>
  <r>
    <n v="30"/>
    <x v="0"/>
    <s v="Travel_Frequently"/>
    <n v="464"/>
    <x v="1"/>
    <n v="4"/>
    <n v="3"/>
    <s v="Technical Degree"/>
    <n v="1"/>
    <n v="514"/>
    <n v="3"/>
    <x v="1"/>
    <n v="40"/>
    <n v="3"/>
    <n v="1"/>
    <s v="Research Scientist"/>
    <n v="4"/>
    <s v="Single"/>
    <x v="1"/>
    <n v="2285"/>
    <n v="3427"/>
    <n v="9"/>
    <s v="Yes"/>
    <s v="Yes"/>
    <n v="23"/>
    <x v="1"/>
    <n v="3"/>
    <n v="80"/>
    <n v="0"/>
    <n v="3"/>
    <n v="4"/>
    <n v="3"/>
    <n v="1"/>
    <n v="0"/>
    <x v="0"/>
    <n v="0"/>
  </r>
  <r>
    <n v="37"/>
    <x v="1"/>
    <s v="Travel_Rarely"/>
    <n v="1107"/>
    <x v="1"/>
    <n v="14"/>
    <n v="3"/>
    <s v="Life Sciences"/>
    <n v="1"/>
    <n v="515"/>
    <n v="4"/>
    <x v="0"/>
    <n v="95"/>
    <n v="3"/>
    <n v="1"/>
    <s v="Laboratory Technician"/>
    <n v="1"/>
    <s v="Divorced"/>
    <x v="2"/>
    <n v="3034"/>
    <n v="26914"/>
    <n v="1"/>
    <s v="Yes"/>
    <s v="No"/>
    <n v="12"/>
    <x v="0"/>
    <n v="3"/>
    <n v="80"/>
    <n v="1"/>
    <n v="18"/>
    <n v="2"/>
    <n v="2"/>
    <n v="18"/>
    <n v="7"/>
    <x v="12"/>
    <n v="17"/>
  </r>
  <r>
    <n v="40"/>
    <x v="1"/>
    <s v="Travel_Rarely"/>
    <n v="759"/>
    <x v="0"/>
    <n v="2"/>
    <n v="2"/>
    <s v="Marketing"/>
    <n v="1"/>
    <n v="516"/>
    <n v="4"/>
    <x v="0"/>
    <n v="46"/>
    <n v="3"/>
    <n v="2"/>
    <s v="Sales Executive"/>
    <n v="2"/>
    <s v="Divorced"/>
    <x v="0"/>
    <n v="5715"/>
    <n v="22553"/>
    <n v="7"/>
    <s v="Yes"/>
    <s v="No"/>
    <n v="12"/>
    <x v="0"/>
    <n v="3"/>
    <n v="80"/>
    <n v="2"/>
    <n v="8"/>
    <n v="5"/>
    <n v="3"/>
    <n v="5"/>
    <n v="4"/>
    <x v="1"/>
    <n v="3"/>
  </r>
  <r>
    <n v="42"/>
    <x v="1"/>
    <s v="Travel_Rarely"/>
    <n v="201"/>
    <x v="1"/>
    <n v="1"/>
    <n v="4"/>
    <s v="Life Sciences"/>
    <n v="1"/>
    <n v="517"/>
    <n v="2"/>
    <x v="0"/>
    <n v="95"/>
    <n v="3"/>
    <n v="1"/>
    <s v="Laboratory Technician"/>
    <n v="1"/>
    <s v="Divorced"/>
    <x v="1"/>
    <n v="2576"/>
    <n v="20490"/>
    <n v="3"/>
    <s v="Yes"/>
    <s v="No"/>
    <n v="16"/>
    <x v="0"/>
    <n v="2"/>
    <n v="80"/>
    <n v="1"/>
    <n v="8"/>
    <n v="5"/>
    <n v="3"/>
    <n v="5"/>
    <n v="2"/>
    <x v="1"/>
    <n v="2"/>
  </r>
  <r>
    <n v="37"/>
    <x v="1"/>
    <s v="Travel_Rarely"/>
    <n v="1305"/>
    <x v="1"/>
    <n v="10"/>
    <n v="4"/>
    <s v="Life Sciences"/>
    <n v="1"/>
    <n v="518"/>
    <n v="3"/>
    <x v="1"/>
    <n v="49"/>
    <n v="3"/>
    <n v="2"/>
    <s v="Manufacturing Director"/>
    <n v="2"/>
    <s v="Single"/>
    <x v="4"/>
    <n v="4197"/>
    <n v="21123"/>
    <n v="2"/>
    <s v="Yes"/>
    <s v="Yes"/>
    <n v="12"/>
    <x v="0"/>
    <n v="4"/>
    <n v="80"/>
    <n v="0"/>
    <n v="18"/>
    <n v="2"/>
    <n v="2"/>
    <n v="1"/>
    <n v="0"/>
    <x v="0"/>
    <n v="1"/>
  </r>
  <r>
    <n v="43"/>
    <x v="1"/>
    <s v="Travel_Rarely"/>
    <n v="982"/>
    <x v="1"/>
    <n v="12"/>
    <n v="3"/>
    <s v="Life Sciences"/>
    <n v="1"/>
    <n v="520"/>
    <n v="1"/>
    <x v="1"/>
    <n v="59"/>
    <n v="2"/>
    <n v="4"/>
    <s v="Research Director"/>
    <n v="2"/>
    <s v="Divorced"/>
    <x v="15"/>
    <n v="14336"/>
    <n v="4345"/>
    <n v="1"/>
    <s v="Yes"/>
    <s v="No"/>
    <n v="11"/>
    <x v="0"/>
    <n v="3"/>
    <n v="80"/>
    <n v="1"/>
    <n v="25"/>
    <n v="3"/>
    <n v="3"/>
    <n v="25"/>
    <n v="10"/>
    <x v="2"/>
    <n v="9"/>
  </r>
  <r>
    <n v="40"/>
    <x v="1"/>
    <s v="Travel_Rarely"/>
    <n v="555"/>
    <x v="1"/>
    <n v="2"/>
    <n v="3"/>
    <s v="Medical"/>
    <n v="1"/>
    <n v="521"/>
    <n v="2"/>
    <x v="0"/>
    <n v="78"/>
    <n v="2"/>
    <n v="2"/>
    <s v="Laboratory Technician"/>
    <n v="3"/>
    <s v="Married"/>
    <x v="2"/>
    <n v="3448"/>
    <n v="13436"/>
    <n v="6"/>
    <s v="Yes"/>
    <s v="No"/>
    <n v="22"/>
    <x v="1"/>
    <n v="2"/>
    <n v="80"/>
    <n v="1"/>
    <n v="20"/>
    <n v="3"/>
    <n v="3"/>
    <n v="1"/>
    <n v="0"/>
    <x v="0"/>
    <n v="0"/>
  </r>
  <r>
    <n v="54"/>
    <x v="1"/>
    <s v="Travel_Rarely"/>
    <n v="821"/>
    <x v="1"/>
    <n v="5"/>
    <n v="2"/>
    <s v="Medical"/>
    <n v="1"/>
    <n v="522"/>
    <n v="1"/>
    <x v="1"/>
    <n v="86"/>
    <n v="3"/>
    <n v="5"/>
    <s v="Research Director"/>
    <n v="1"/>
    <s v="Married"/>
    <x v="8"/>
    <n v="19406"/>
    <n v="8509"/>
    <n v="4"/>
    <s v="Yes"/>
    <s v="No"/>
    <n v="11"/>
    <x v="0"/>
    <n v="3"/>
    <n v="80"/>
    <n v="1"/>
    <n v="24"/>
    <n v="4"/>
    <n v="2"/>
    <n v="4"/>
    <n v="2"/>
    <x v="1"/>
    <n v="2"/>
  </r>
  <r>
    <n v="34"/>
    <x v="1"/>
    <s v="Non-Travel"/>
    <n v="1381"/>
    <x v="0"/>
    <n v="4"/>
    <n v="4"/>
    <s v="Marketing"/>
    <n v="1"/>
    <n v="523"/>
    <n v="3"/>
    <x v="0"/>
    <n v="72"/>
    <n v="3"/>
    <n v="2"/>
    <s v="Sales Executive"/>
    <n v="3"/>
    <s v="Married"/>
    <x v="9"/>
    <n v="6538"/>
    <n v="12740"/>
    <n v="9"/>
    <s v="Yes"/>
    <s v="No"/>
    <n v="15"/>
    <x v="0"/>
    <n v="1"/>
    <n v="80"/>
    <n v="1"/>
    <n v="6"/>
    <n v="3"/>
    <n v="3"/>
    <n v="3"/>
    <n v="2"/>
    <x v="1"/>
    <n v="2"/>
  </r>
  <r>
    <n v="31"/>
    <x v="1"/>
    <s v="Travel_Rarely"/>
    <n v="480"/>
    <x v="1"/>
    <n v="7"/>
    <n v="2"/>
    <s v="Medical"/>
    <n v="1"/>
    <n v="524"/>
    <n v="2"/>
    <x v="0"/>
    <n v="31"/>
    <n v="3"/>
    <n v="2"/>
    <s v="Manufacturing Director"/>
    <n v="1"/>
    <s v="Married"/>
    <x v="4"/>
    <n v="4306"/>
    <n v="4156"/>
    <n v="1"/>
    <s v="Yes"/>
    <s v="No"/>
    <n v="12"/>
    <x v="0"/>
    <n v="2"/>
    <n v="80"/>
    <n v="1"/>
    <n v="13"/>
    <n v="5"/>
    <n v="1"/>
    <n v="13"/>
    <n v="10"/>
    <x v="2"/>
    <n v="12"/>
  </r>
  <r>
    <n v="43"/>
    <x v="1"/>
    <s v="Travel_Frequently"/>
    <n v="313"/>
    <x v="1"/>
    <n v="21"/>
    <n v="3"/>
    <s v="Medical"/>
    <n v="1"/>
    <n v="525"/>
    <n v="4"/>
    <x v="1"/>
    <n v="61"/>
    <n v="3"/>
    <n v="1"/>
    <s v="Laboratory Technician"/>
    <n v="4"/>
    <s v="Married"/>
    <x v="1"/>
    <n v="2258"/>
    <n v="15238"/>
    <n v="7"/>
    <s v="Yes"/>
    <s v="No"/>
    <n v="20"/>
    <x v="1"/>
    <n v="1"/>
    <n v="80"/>
    <n v="1"/>
    <n v="8"/>
    <n v="1"/>
    <n v="3"/>
    <n v="3"/>
    <n v="2"/>
    <x v="1"/>
    <n v="2"/>
  </r>
  <r>
    <n v="43"/>
    <x v="1"/>
    <s v="Travel_Rarely"/>
    <n v="1473"/>
    <x v="1"/>
    <n v="8"/>
    <n v="4"/>
    <s v="Other"/>
    <n v="1"/>
    <n v="526"/>
    <n v="3"/>
    <x v="0"/>
    <n v="74"/>
    <n v="3"/>
    <n v="2"/>
    <s v="Healthcare Representative"/>
    <n v="3"/>
    <s v="Divorced"/>
    <x v="4"/>
    <n v="4522"/>
    <n v="2227"/>
    <n v="4"/>
    <s v="Yes"/>
    <s v="Yes"/>
    <n v="14"/>
    <x v="0"/>
    <n v="4"/>
    <n v="80"/>
    <n v="0"/>
    <n v="8"/>
    <n v="3"/>
    <n v="3"/>
    <n v="5"/>
    <n v="2"/>
    <x v="0"/>
    <n v="2"/>
  </r>
  <r>
    <n v="25"/>
    <x v="1"/>
    <s v="Travel_Rarely"/>
    <n v="891"/>
    <x v="0"/>
    <n v="4"/>
    <n v="2"/>
    <s v="Life Sciences"/>
    <n v="1"/>
    <n v="527"/>
    <n v="2"/>
    <x v="0"/>
    <n v="99"/>
    <n v="2"/>
    <n v="2"/>
    <s v="Sales Executive"/>
    <n v="4"/>
    <s v="Single"/>
    <x v="4"/>
    <n v="4487"/>
    <n v="12090"/>
    <n v="1"/>
    <s v="Yes"/>
    <s v="Yes"/>
    <n v="11"/>
    <x v="0"/>
    <n v="2"/>
    <n v="80"/>
    <n v="0"/>
    <n v="5"/>
    <n v="3"/>
    <n v="3"/>
    <n v="5"/>
    <n v="4"/>
    <x v="1"/>
    <n v="3"/>
  </r>
  <r>
    <n v="37"/>
    <x v="1"/>
    <s v="Non-Travel"/>
    <n v="1063"/>
    <x v="1"/>
    <n v="25"/>
    <n v="5"/>
    <s v="Medical"/>
    <n v="1"/>
    <n v="529"/>
    <n v="2"/>
    <x v="0"/>
    <n v="72"/>
    <n v="3"/>
    <n v="2"/>
    <s v="Research Scientist"/>
    <n v="3"/>
    <s v="Married"/>
    <x v="4"/>
    <n v="4449"/>
    <n v="23866"/>
    <n v="3"/>
    <s v="Yes"/>
    <s v="Yes"/>
    <n v="15"/>
    <x v="0"/>
    <n v="1"/>
    <n v="80"/>
    <n v="2"/>
    <n v="15"/>
    <n v="2"/>
    <n v="3"/>
    <n v="13"/>
    <n v="11"/>
    <x v="13"/>
    <n v="7"/>
  </r>
  <r>
    <n v="31"/>
    <x v="1"/>
    <s v="Travel_Rarely"/>
    <n v="329"/>
    <x v="1"/>
    <n v="1"/>
    <n v="2"/>
    <s v="Life Sciences"/>
    <n v="1"/>
    <n v="530"/>
    <n v="4"/>
    <x v="1"/>
    <n v="98"/>
    <n v="2"/>
    <n v="1"/>
    <s v="Laboratory Technician"/>
    <n v="1"/>
    <s v="Married"/>
    <x v="1"/>
    <n v="2218"/>
    <n v="16193"/>
    <n v="1"/>
    <s v="Yes"/>
    <s v="No"/>
    <n v="12"/>
    <x v="0"/>
    <n v="3"/>
    <n v="80"/>
    <n v="1"/>
    <n v="4"/>
    <n v="3"/>
    <n v="3"/>
    <n v="4"/>
    <n v="2"/>
    <x v="2"/>
    <n v="2"/>
  </r>
  <r>
    <n v="39"/>
    <x v="1"/>
    <s v="Travel_Frequently"/>
    <n v="1218"/>
    <x v="1"/>
    <n v="1"/>
    <n v="1"/>
    <s v="Life Sciences"/>
    <n v="1"/>
    <n v="531"/>
    <n v="2"/>
    <x v="1"/>
    <n v="52"/>
    <n v="3"/>
    <n v="5"/>
    <s v="Manager"/>
    <n v="3"/>
    <s v="Divorced"/>
    <x v="8"/>
    <n v="19197"/>
    <n v="8213"/>
    <n v="1"/>
    <s v="Yes"/>
    <s v="Yes"/>
    <n v="14"/>
    <x v="0"/>
    <n v="3"/>
    <n v="80"/>
    <n v="1"/>
    <n v="21"/>
    <n v="3"/>
    <n v="3"/>
    <n v="21"/>
    <n v="8"/>
    <x v="1"/>
    <n v="6"/>
  </r>
  <r>
    <n v="56"/>
    <x v="1"/>
    <s v="Travel_Frequently"/>
    <n v="906"/>
    <x v="0"/>
    <n v="6"/>
    <n v="3"/>
    <s v="Life Sciences"/>
    <n v="1"/>
    <n v="532"/>
    <n v="3"/>
    <x v="0"/>
    <n v="86"/>
    <n v="4"/>
    <n v="4"/>
    <s v="Sales Executive"/>
    <n v="1"/>
    <s v="Married"/>
    <x v="13"/>
    <n v="13212"/>
    <n v="18256"/>
    <n v="9"/>
    <s v="Yes"/>
    <s v="No"/>
    <n v="11"/>
    <x v="0"/>
    <n v="4"/>
    <n v="80"/>
    <n v="3"/>
    <n v="36"/>
    <n v="0"/>
    <n v="2"/>
    <n v="7"/>
    <n v="7"/>
    <x v="4"/>
    <n v="7"/>
  </r>
  <r>
    <n v="30"/>
    <x v="1"/>
    <s v="Travel_Rarely"/>
    <n v="1082"/>
    <x v="0"/>
    <n v="12"/>
    <n v="3"/>
    <s v="Technical Degree"/>
    <n v="1"/>
    <n v="533"/>
    <n v="2"/>
    <x v="0"/>
    <n v="83"/>
    <n v="3"/>
    <n v="2"/>
    <s v="Sales Executive"/>
    <n v="3"/>
    <s v="Single"/>
    <x v="9"/>
    <n v="6577"/>
    <n v="19558"/>
    <n v="0"/>
    <s v="Yes"/>
    <s v="No"/>
    <n v="11"/>
    <x v="0"/>
    <n v="2"/>
    <n v="80"/>
    <n v="0"/>
    <n v="6"/>
    <n v="6"/>
    <n v="3"/>
    <n v="5"/>
    <n v="4"/>
    <x v="5"/>
    <n v="4"/>
  </r>
  <r>
    <n v="41"/>
    <x v="1"/>
    <s v="Travel_Rarely"/>
    <n v="645"/>
    <x v="0"/>
    <n v="1"/>
    <n v="3"/>
    <s v="Marketing"/>
    <n v="1"/>
    <n v="534"/>
    <n v="2"/>
    <x v="1"/>
    <n v="49"/>
    <n v="4"/>
    <n v="3"/>
    <s v="Sales Executive"/>
    <n v="1"/>
    <s v="Married"/>
    <x v="12"/>
    <n v="8392"/>
    <n v="19566"/>
    <n v="1"/>
    <s v="Yes"/>
    <s v="No"/>
    <n v="16"/>
    <x v="0"/>
    <n v="3"/>
    <n v="80"/>
    <n v="1"/>
    <n v="10"/>
    <n v="2"/>
    <n v="3"/>
    <n v="10"/>
    <n v="7"/>
    <x v="0"/>
    <n v="7"/>
  </r>
  <r>
    <n v="28"/>
    <x v="1"/>
    <s v="Travel_Rarely"/>
    <n v="1300"/>
    <x v="1"/>
    <n v="17"/>
    <n v="2"/>
    <s v="Medical"/>
    <n v="1"/>
    <n v="536"/>
    <n v="3"/>
    <x v="1"/>
    <n v="79"/>
    <n v="3"/>
    <n v="2"/>
    <s v="Laboratory Technician"/>
    <n v="1"/>
    <s v="Divorced"/>
    <x v="4"/>
    <n v="4558"/>
    <n v="13535"/>
    <n v="1"/>
    <s v="Yes"/>
    <s v="No"/>
    <n v="12"/>
    <x v="0"/>
    <n v="4"/>
    <n v="80"/>
    <n v="1"/>
    <n v="10"/>
    <n v="2"/>
    <n v="3"/>
    <n v="10"/>
    <n v="0"/>
    <x v="1"/>
    <n v="8"/>
  </r>
  <r>
    <n v="25"/>
    <x v="0"/>
    <s v="Travel_Rarely"/>
    <n v="688"/>
    <x v="1"/>
    <n v="3"/>
    <n v="3"/>
    <s v="Medical"/>
    <n v="1"/>
    <n v="538"/>
    <n v="1"/>
    <x v="1"/>
    <n v="91"/>
    <n v="3"/>
    <n v="1"/>
    <s v="Laboratory Technician"/>
    <n v="1"/>
    <s v="Married"/>
    <x v="4"/>
    <n v="4031"/>
    <n v="9396"/>
    <n v="5"/>
    <s v="Yes"/>
    <s v="No"/>
    <n v="13"/>
    <x v="0"/>
    <n v="3"/>
    <n v="80"/>
    <n v="1"/>
    <n v="6"/>
    <n v="5"/>
    <n v="3"/>
    <n v="2"/>
    <n v="2"/>
    <x v="0"/>
    <n v="2"/>
  </r>
  <r>
    <n v="52"/>
    <x v="1"/>
    <s v="Travel_Rarely"/>
    <n v="319"/>
    <x v="1"/>
    <n v="3"/>
    <n v="3"/>
    <s v="Medical"/>
    <n v="1"/>
    <n v="543"/>
    <n v="4"/>
    <x v="1"/>
    <n v="39"/>
    <n v="2"/>
    <n v="3"/>
    <s v="Manufacturing Director"/>
    <n v="3"/>
    <s v="Married"/>
    <x v="14"/>
    <n v="7969"/>
    <n v="19609"/>
    <n v="2"/>
    <s v="Yes"/>
    <s v="Yes"/>
    <n v="14"/>
    <x v="0"/>
    <n v="3"/>
    <n v="80"/>
    <n v="0"/>
    <n v="28"/>
    <n v="4"/>
    <n v="3"/>
    <n v="5"/>
    <n v="4"/>
    <x v="0"/>
    <n v="4"/>
  </r>
  <r>
    <n v="45"/>
    <x v="1"/>
    <s v="Travel_Rarely"/>
    <n v="192"/>
    <x v="1"/>
    <n v="10"/>
    <n v="2"/>
    <s v="Life Sciences"/>
    <n v="1"/>
    <n v="544"/>
    <n v="1"/>
    <x v="1"/>
    <n v="69"/>
    <n v="3"/>
    <n v="1"/>
    <s v="Research Scientist"/>
    <n v="4"/>
    <s v="Married"/>
    <x v="1"/>
    <n v="2654"/>
    <n v="9655"/>
    <n v="3"/>
    <s v="Yes"/>
    <s v="No"/>
    <n v="21"/>
    <x v="1"/>
    <n v="4"/>
    <n v="80"/>
    <n v="2"/>
    <n v="8"/>
    <n v="3"/>
    <n v="2"/>
    <n v="2"/>
    <n v="2"/>
    <x v="0"/>
    <n v="2"/>
  </r>
  <r>
    <n v="52"/>
    <x v="1"/>
    <s v="Travel_Rarely"/>
    <n v="1490"/>
    <x v="1"/>
    <n v="4"/>
    <n v="2"/>
    <s v="Life Sciences"/>
    <n v="1"/>
    <n v="546"/>
    <n v="4"/>
    <x v="0"/>
    <n v="30"/>
    <n v="3"/>
    <n v="4"/>
    <s v="Manager"/>
    <n v="4"/>
    <s v="Married"/>
    <x v="17"/>
    <n v="16555"/>
    <n v="10310"/>
    <n v="2"/>
    <s v="Yes"/>
    <s v="No"/>
    <n v="13"/>
    <x v="0"/>
    <n v="4"/>
    <n v="80"/>
    <n v="0"/>
    <n v="31"/>
    <n v="2"/>
    <n v="1"/>
    <n v="5"/>
    <n v="2"/>
    <x v="1"/>
    <n v="4"/>
  </r>
  <r>
    <n v="42"/>
    <x v="1"/>
    <s v="Travel_Frequently"/>
    <n v="532"/>
    <x v="1"/>
    <n v="29"/>
    <n v="2"/>
    <s v="Life Sciences"/>
    <n v="1"/>
    <n v="547"/>
    <n v="1"/>
    <x v="0"/>
    <n v="92"/>
    <n v="3"/>
    <n v="2"/>
    <s v="Research Scientist"/>
    <n v="3"/>
    <s v="Divorced"/>
    <x v="4"/>
    <n v="4556"/>
    <n v="12932"/>
    <n v="2"/>
    <s v="Yes"/>
    <s v="No"/>
    <n v="11"/>
    <x v="0"/>
    <n v="2"/>
    <n v="80"/>
    <n v="1"/>
    <n v="19"/>
    <n v="3"/>
    <n v="3"/>
    <n v="5"/>
    <n v="4"/>
    <x v="0"/>
    <n v="2"/>
  </r>
  <r>
    <n v="30"/>
    <x v="1"/>
    <s v="Travel_Rarely"/>
    <n v="317"/>
    <x v="1"/>
    <n v="2"/>
    <n v="3"/>
    <s v="Life Sciences"/>
    <n v="1"/>
    <n v="548"/>
    <n v="3"/>
    <x v="0"/>
    <n v="43"/>
    <n v="1"/>
    <n v="2"/>
    <s v="Manufacturing Director"/>
    <n v="4"/>
    <s v="Single"/>
    <x v="9"/>
    <n v="6091"/>
    <n v="24793"/>
    <n v="2"/>
    <s v="Yes"/>
    <s v="No"/>
    <n v="20"/>
    <x v="1"/>
    <n v="3"/>
    <n v="80"/>
    <n v="0"/>
    <n v="11"/>
    <n v="2"/>
    <n v="3"/>
    <n v="5"/>
    <n v="4"/>
    <x v="0"/>
    <n v="2"/>
  </r>
  <r>
    <n v="60"/>
    <x v="1"/>
    <s v="Travel_Rarely"/>
    <n v="422"/>
    <x v="1"/>
    <n v="7"/>
    <n v="3"/>
    <s v="Life Sciences"/>
    <n v="1"/>
    <n v="549"/>
    <n v="1"/>
    <x v="0"/>
    <n v="41"/>
    <n v="3"/>
    <n v="5"/>
    <s v="Manager"/>
    <n v="1"/>
    <s v="Married"/>
    <x v="8"/>
    <n v="19566"/>
    <n v="3854"/>
    <n v="5"/>
    <s v="Yes"/>
    <s v="No"/>
    <n v="11"/>
    <x v="0"/>
    <n v="4"/>
    <n v="80"/>
    <n v="0"/>
    <n v="33"/>
    <n v="5"/>
    <n v="1"/>
    <n v="29"/>
    <n v="8"/>
    <x v="14"/>
    <n v="10"/>
  </r>
  <r>
    <n v="46"/>
    <x v="1"/>
    <s v="Travel_Rarely"/>
    <n v="1485"/>
    <x v="1"/>
    <n v="18"/>
    <n v="3"/>
    <s v="Medical"/>
    <n v="1"/>
    <n v="550"/>
    <n v="3"/>
    <x v="0"/>
    <n v="87"/>
    <n v="3"/>
    <n v="2"/>
    <s v="Manufacturing Director"/>
    <n v="3"/>
    <s v="Divorced"/>
    <x v="4"/>
    <n v="4810"/>
    <n v="26314"/>
    <n v="2"/>
    <s v="Yes"/>
    <s v="No"/>
    <n v="14"/>
    <x v="0"/>
    <n v="3"/>
    <n v="80"/>
    <n v="1"/>
    <n v="19"/>
    <n v="5"/>
    <n v="2"/>
    <n v="10"/>
    <n v="7"/>
    <x v="0"/>
    <n v="8"/>
  </r>
  <r>
    <n v="42"/>
    <x v="1"/>
    <s v="Travel_Frequently"/>
    <n v="1368"/>
    <x v="1"/>
    <n v="28"/>
    <n v="4"/>
    <s v="Technical Degree"/>
    <n v="1"/>
    <n v="551"/>
    <n v="4"/>
    <x v="0"/>
    <n v="88"/>
    <n v="2"/>
    <n v="2"/>
    <s v="Healthcare Representative"/>
    <n v="4"/>
    <s v="Married"/>
    <x v="4"/>
    <n v="4523"/>
    <n v="4386"/>
    <n v="0"/>
    <s v="Yes"/>
    <s v="No"/>
    <n v="11"/>
    <x v="0"/>
    <n v="4"/>
    <n v="80"/>
    <n v="3"/>
    <n v="7"/>
    <n v="4"/>
    <n v="4"/>
    <n v="6"/>
    <n v="5"/>
    <x v="0"/>
    <n v="4"/>
  </r>
  <r>
    <n v="24"/>
    <x v="0"/>
    <s v="Travel_Rarely"/>
    <n v="1448"/>
    <x v="0"/>
    <n v="1"/>
    <n v="1"/>
    <s v="Technical Degree"/>
    <n v="1"/>
    <n v="554"/>
    <n v="1"/>
    <x v="0"/>
    <n v="62"/>
    <n v="3"/>
    <n v="1"/>
    <s v="Sales Representative"/>
    <n v="2"/>
    <s v="Single"/>
    <x v="2"/>
    <n v="3202"/>
    <n v="21972"/>
    <n v="1"/>
    <s v="Yes"/>
    <s v="Yes"/>
    <n v="16"/>
    <x v="0"/>
    <n v="2"/>
    <n v="80"/>
    <n v="0"/>
    <n v="6"/>
    <n v="4"/>
    <n v="3"/>
    <n v="5"/>
    <n v="3"/>
    <x v="1"/>
    <n v="4"/>
  </r>
  <r>
    <n v="34"/>
    <x v="0"/>
    <s v="Travel_Frequently"/>
    <n v="296"/>
    <x v="0"/>
    <n v="6"/>
    <n v="2"/>
    <s v="Marketing"/>
    <n v="1"/>
    <n v="555"/>
    <n v="4"/>
    <x v="0"/>
    <n v="33"/>
    <n v="1"/>
    <n v="1"/>
    <s v="Sales Representative"/>
    <n v="3"/>
    <s v="Divorced"/>
    <x v="1"/>
    <n v="2351"/>
    <n v="12253"/>
    <n v="0"/>
    <s v="Yes"/>
    <s v="No"/>
    <n v="16"/>
    <x v="0"/>
    <n v="4"/>
    <n v="80"/>
    <n v="1"/>
    <n v="3"/>
    <n v="3"/>
    <n v="2"/>
    <n v="2"/>
    <n v="2"/>
    <x v="1"/>
    <n v="0"/>
  </r>
  <r>
    <n v="38"/>
    <x v="1"/>
    <s v="Travel_Frequently"/>
    <n v="1490"/>
    <x v="1"/>
    <n v="2"/>
    <n v="2"/>
    <s v="Life Sciences"/>
    <n v="1"/>
    <n v="556"/>
    <n v="4"/>
    <x v="1"/>
    <n v="42"/>
    <n v="3"/>
    <n v="1"/>
    <s v="Laboratory Technician"/>
    <n v="4"/>
    <s v="Married"/>
    <x v="7"/>
    <n v="1702"/>
    <n v="12106"/>
    <n v="1"/>
    <s v="Yes"/>
    <s v="Yes"/>
    <n v="23"/>
    <x v="1"/>
    <n v="3"/>
    <n v="80"/>
    <n v="1"/>
    <n v="1"/>
    <n v="3"/>
    <n v="3"/>
    <n v="1"/>
    <n v="0"/>
    <x v="0"/>
    <n v="0"/>
  </r>
  <r>
    <n v="40"/>
    <x v="1"/>
    <s v="Travel_Rarely"/>
    <n v="1398"/>
    <x v="0"/>
    <n v="2"/>
    <n v="4"/>
    <s v="Life Sciences"/>
    <n v="1"/>
    <n v="558"/>
    <n v="3"/>
    <x v="0"/>
    <n v="79"/>
    <n v="3"/>
    <n v="5"/>
    <s v="Manager"/>
    <n v="3"/>
    <s v="Married"/>
    <x v="11"/>
    <n v="18041"/>
    <n v="13022"/>
    <n v="0"/>
    <s v="Yes"/>
    <s v="No"/>
    <n v="14"/>
    <x v="0"/>
    <n v="4"/>
    <n v="80"/>
    <n v="0"/>
    <n v="21"/>
    <n v="2"/>
    <n v="3"/>
    <n v="20"/>
    <n v="15"/>
    <x v="1"/>
    <n v="12"/>
  </r>
  <r>
    <n v="26"/>
    <x v="1"/>
    <s v="Travel_Rarely"/>
    <n v="1349"/>
    <x v="1"/>
    <n v="23"/>
    <n v="3"/>
    <s v="Life Sciences"/>
    <n v="1"/>
    <n v="560"/>
    <n v="1"/>
    <x v="0"/>
    <n v="90"/>
    <n v="3"/>
    <n v="1"/>
    <s v="Research Scientist"/>
    <n v="4"/>
    <s v="Divorced"/>
    <x v="1"/>
    <n v="2886"/>
    <n v="3032"/>
    <n v="1"/>
    <s v="Yes"/>
    <s v="No"/>
    <n v="22"/>
    <x v="1"/>
    <n v="2"/>
    <n v="80"/>
    <n v="2"/>
    <n v="3"/>
    <n v="3"/>
    <n v="1"/>
    <n v="3"/>
    <n v="2"/>
    <x v="0"/>
    <n v="2"/>
  </r>
  <r>
    <n v="30"/>
    <x v="1"/>
    <s v="Non-Travel"/>
    <n v="1400"/>
    <x v="1"/>
    <n v="3"/>
    <n v="3"/>
    <s v="Life Sciences"/>
    <n v="1"/>
    <n v="562"/>
    <n v="3"/>
    <x v="1"/>
    <n v="53"/>
    <n v="3"/>
    <n v="1"/>
    <s v="Laboratory Technician"/>
    <n v="4"/>
    <s v="Married"/>
    <x v="1"/>
    <n v="2097"/>
    <n v="16734"/>
    <n v="4"/>
    <s v="Yes"/>
    <s v="No"/>
    <n v="15"/>
    <x v="0"/>
    <n v="3"/>
    <n v="80"/>
    <n v="1"/>
    <n v="9"/>
    <n v="3"/>
    <n v="1"/>
    <n v="5"/>
    <n v="3"/>
    <x v="1"/>
    <n v="4"/>
  </r>
  <r>
    <n v="29"/>
    <x v="1"/>
    <s v="Travel_Rarely"/>
    <n v="986"/>
    <x v="1"/>
    <n v="3"/>
    <n v="4"/>
    <s v="Medical"/>
    <n v="1"/>
    <n v="564"/>
    <n v="2"/>
    <x v="1"/>
    <n v="93"/>
    <n v="2"/>
    <n v="3"/>
    <s v="Research Director"/>
    <n v="3"/>
    <s v="Married"/>
    <x v="6"/>
    <n v="11935"/>
    <n v="21526"/>
    <n v="1"/>
    <s v="Yes"/>
    <s v="No"/>
    <n v="18"/>
    <x v="0"/>
    <n v="3"/>
    <n v="80"/>
    <n v="0"/>
    <n v="10"/>
    <n v="2"/>
    <n v="3"/>
    <n v="10"/>
    <n v="2"/>
    <x v="0"/>
    <n v="7"/>
  </r>
  <r>
    <n v="29"/>
    <x v="0"/>
    <s v="Travel_Rarely"/>
    <n v="408"/>
    <x v="1"/>
    <n v="25"/>
    <n v="5"/>
    <s v="Technical Degree"/>
    <n v="1"/>
    <n v="565"/>
    <n v="3"/>
    <x v="0"/>
    <n v="71"/>
    <n v="2"/>
    <n v="1"/>
    <s v="Research Scientist"/>
    <n v="2"/>
    <s v="Married"/>
    <x v="1"/>
    <n v="2546"/>
    <n v="18300"/>
    <n v="5"/>
    <s v="Yes"/>
    <s v="No"/>
    <n v="16"/>
    <x v="0"/>
    <n v="2"/>
    <n v="80"/>
    <n v="0"/>
    <n v="6"/>
    <n v="2"/>
    <n v="4"/>
    <n v="2"/>
    <n v="2"/>
    <x v="1"/>
    <n v="1"/>
  </r>
  <r>
    <n v="19"/>
    <x v="0"/>
    <s v="Travel_Rarely"/>
    <n v="489"/>
    <x v="2"/>
    <n v="2"/>
    <n v="2"/>
    <s v="Technical Degree"/>
    <n v="1"/>
    <n v="566"/>
    <n v="1"/>
    <x v="1"/>
    <n v="52"/>
    <n v="2"/>
    <n v="1"/>
    <s v="Human Resources"/>
    <n v="4"/>
    <s v="Single"/>
    <x v="1"/>
    <n v="2564"/>
    <n v="18437"/>
    <n v="1"/>
    <s v="Yes"/>
    <s v="No"/>
    <n v="12"/>
    <x v="0"/>
    <n v="3"/>
    <n v="80"/>
    <n v="0"/>
    <n v="1"/>
    <n v="3"/>
    <n v="4"/>
    <n v="1"/>
    <n v="0"/>
    <x v="0"/>
    <n v="0"/>
  </r>
  <r>
    <n v="30"/>
    <x v="1"/>
    <s v="Non-Travel"/>
    <n v="1398"/>
    <x v="0"/>
    <n v="22"/>
    <n v="4"/>
    <s v="Other"/>
    <n v="1"/>
    <n v="567"/>
    <n v="3"/>
    <x v="0"/>
    <n v="69"/>
    <n v="3"/>
    <n v="3"/>
    <s v="Sales Executive"/>
    <n v="1"/>
    <s v="Married"/>
    <x v="12"/>
    <n v="8412"/>
    <n v="2890"/>
    <n v="0"/>
    <s v="Yes"/>
    <s v="No"/>
    <n v="11"/>
    <x v="0"/>
    <n v="3"/>
    <n v="80"/>
    <n v="0"/>
    <n v="10"/>
    <n v="3"/>
    <n v="3"/>
    <n v="9"/>
    <n v="8"/>
    <x v="4"/>
    <n v="8"/>
  </r>
  <r>
    <n v="57"/>
    <x v="1"/>
    <s v="Travel_Rarely"/>
    <n v="210"/>
    <x v="0"/>
    <n v="29"/>
    <n v="3"/>
    <s v="Marketing"/>
    <n v="1"/>
    <n v="568"/>
    <n v="1"/>
    <x v="1"/>
    <n v="56"/>
    <n v="2"/>
    <n v="4"/>
    <s v="Manager"/>
    <n v="4"/>
    <s v="Divorced"/>
    <x v="15"/>
    <n v="14118"/>
    <n v="22102"/>
    <n v="3"/>
    <s v="Yes"/>
    <s v="No"/>
    <n v="12"/>
    <x v="0"/>
    <n v="3"/>
    <n v="80"/>
    <n v="1"/>
    <n v="32"/>
    <n v="3"/>
    <n v="2"/>
    <n v="1"/>
    <n v="0"/>
    <x v="0"/>
    <n v="0"/>
  </r>
  <r>
    <n v="50"/>
    <x v="1"/>
    <s v="Travel_Rarely"/>
    <n v="1099"/>
    <x v="1"/>
    <n v="29"/>
    <n v="4"/>
    <s v="Life Sciences"/>
    <n v="1"/>
    <n v="569"/>
    <n v="2"/>
    <x v="1"/>
    <n v="88"/>
    <n v="2"/>
    <n v="4"/>
    <s v="Manager"/>
    <n v="3"/>
    <s v="Married"/>
    <x v="16"/>
    <n v="17046"/>
    <n v="9314"/>
    <n v="0"/>
    <s v="Yes"/>
    <s v="No"/>
    <n v="15"/>
    <x v="0"/>
    <n v="2"/>
    <n v="80"/>
    <n v="1"/>
    <n v="28"/>
    <n v="2"/>
    <n v="3"/>
    <n v="27"/>
    <n v="10"/>
    <x v="9"/>
    <n v="7"/>
  </r>
  <r>
    <n v="30"/>
    <x v="1"/>
    <s v="Non-Travel"/>
    <n v="1116"/>
    <x v="1"/>
    <n v="2"/>
    <n v="3"/>
    <s v="Medical"/>
    <n v="1"/>
    <n v="571"/>
    <n v="3"/>
    <x v="0"/>
    <n v="49"/>
    <n v="3"/>
    <n v="1"/>
    <s v="Laboratory Technician"/>
    <n v="4"/>
    <s v="Single"/>
    <x v="1"/>
    <n v="2564"/>
    <n v="7181"/>
    <n v="0"/>
    <s v="Yes"/>
    <s v="No"/>
    <n v="14"/>
    <x v="0"/>
    <n v="3"/>
    <n v="80"/>
    <n v="0"/>
    <n v="12"/>
    <n v="2"/>
    <n v="2"/>
    <n v="11"/>
    <n v="7"/>
    <x v="7"/>
    <n v="7"/>
  </r>
  <r>
    <n v="60"/>
    <x v="1"/>
    <s v="Travel_Frequently"/>
    <n v="1499"/>
    <x v="0"/>
    <n v="28"/>
    <n v="3"/>
    <s v="Marketing"/>
    <n v="1"/>
    <n v="573"/>
    <n v="3"/>
    <x v="0"/>
    <n v="80"/>
    <n v="2"/>
    <n v="3"/>
    <s v="Sales Executive"/>
    <n v="1"/>
    <s v="Married"/>
    <x v="10"/>
    <n v="10266"/>
    <n v="2845"/>
    <n v="4"/>
    <s v="Yes"/>
    <s v="No"/>
    <n v="19"/>
    <x v="0"/>
    <n v="4"/>
    <n v="80"/>
    <n v="0"/>
    <n v="22"/>
    <n v="5"/>
    <n v="4"/>
    <n v="18"/>
    <n v="13"/>
    <x v="11"/>
    <n v="11"/>
  </r>
  <r>
    <n v="47"/>
    <x v="1"/>
    <s v="Travel_Rarely"/>
    <n v="983"/>
    <x v="1"/>
    <n v="2"/>
    <n v="2"/>
    <s v="Medical"/>
    <n v="1"/>
    <n v="574"/>
    <n v="1"/>
    <x v="0"/>
    <n v="65"/>
    <n v="3"/>
    <n v="2"/>
    <s v="Manufacturing Director"/>
    <n v="4"/>
    <s v="Divorced"/>
    <x v="0"/>
    <n v="5070"/>
    <n v="7389"/>
    <n v="5"/>
    <s v="Yes"/>
    <s v="No"/>
    <n v="13"/>
    <x v="0"/>
    <n v="3"/>
    <n v="80"/>
    <n v="3"/>
    <n v="20"/>
    <n v="2"/>
    <n v="3"/>
    <n v="5"/>
    <n v="0"/>
    <x v="0"/>
    <n v="4"/>
  </r>
  <r>
    <n v="46"/>
    <x v="1"/>
    <s v="Travel_Rarely"/>
    <n v="1009"/>
    <x v="1"/>
    <n v="2"/>
    <n v="3"/>
    <s v="Life Sciences"/>
    <n v="1"/>
    <n v="575"/>
    <n v="1"/>
    <x v="1"/>
    <n v="51"/>
    <n v="3"/>
    <n v="4"/>
    <s v="Research Director"/>
    <n v="3"/>
    <s v="Married"/>
    <x v="16"/>
    <n v="17861"/>
    <n v="2288"/>
    <n v="6"/>
    <s v="Yes"/>
    <s v="No"/>
    <n v="13"/>
    <x v="0"/>
    <n v="3"/>
    <n v="80"/>
    <n v="0"/>
    <n v="26"/>
    <n v="2"/>
    <n v="1"/>
    <n v="3"/>
    <n v="2"/>
    <x v="0"/>
    <n v="1"/>
  </r>
  <r>
    <n v="35"/>
    <x v="1"/>
    <s v="Travel_Rarely"/>
    <n v="144"/>
    <x v="1"/>
    <n v="22"/>
    <n v="3"/>
    <s v="Life Sciences"/>
    <n v="1"/>
    <n v="577"/>
    <n v="4"/>
    <x v="1"/>
    <n v="46"/>
    <n v="1"/>
    <n v="1"/>
    <s v="Laboratory Technician"/>
    <n v="3"/>
    <s v="Single"/>
    <x v="4"/>
    <n v="4230"/>
    <n v="19225"/>
    <n v="0"/>
    <s v="Yes"/>
    <s v="No"/>
    <n v="15"/>
    <x v="0"/>
    <n v="3"/>
    <n v="80"/>
    <n v="0"/>
    <n v="6"/>
    <n v="2"/>
    <n v="3"/>
    <n v="5"/>
    <n v="4"/>
    <x v="5"/>
    <n v="3"/>
  </r>
  <r>
    <n v="54"/>
    <x v="1"/>
    <s v="Travel_Rarely"/>
    <n v="548"/>
    <x v="1"/>
    <n v="8"/>
    <n v="4"/>
    <s v="Life Sciences"/>
    <n v="1"/>
    <n v="578"/>
    <n v="3"/>
    <x v="0"/>
    <n v="42"/>
    <n v="3"/>
    <n v="2"/>
    <s v="Laboratory Technician"/>
    <n v="3"/>
    <s v="Single"/>
    <x v="2"/>
    <n v="3780"/>
    <n v="23428"/>
    <n v="7"/>
    <s v="Yes"/>
    <s v="No"/>
    <n v="11"/>
    <x v="0"/>
    <n v="3"/>
    <n v="80"/>
    <n v="0"/>
    <n v="19"/>
    <n v="3"/>
    <n v="3"/>
    <n v="1"/>
    <n v="0"/>
    <x v="0"/>
    <n v="0"/>
  </r>
  <r>
    <n v="34"/>
    <x v="1"/>
    <s v="Travel_Rarely"/>
    <n v="1303"/>
    <x v="1"/>
    <n v="2"/>
    <n v="4"/>
    <s v="Life Sciences"/>
    <n v="1"/>
    <n v="579"/>
    <n v="4"/>
    <x v="1"/>
    <n v="62"/>
    <n v="2"/>
    <n v="1"/>
    <s v="Research Scientist"/>
    <n v="3"/>
    <s v="Divorced"/>
    <x v="1"/>
    <n v="2768"/>
    <n v="8416"/>
    <n v="3"/>
    <s v="Yes"/>
    <s v="No"/>
    <n v="12"/>
    <x v="0"/>
    <n v="3"/>
    <n v="80"/>
    <n v="1"/>
    <n v="14"/>
    <n v="3"/>
    <n v="3"/>
    <n v="7"/>
    <n v="3"/>
    <x v="8"/>
    <n v="7"/>
  </r>
  <r>
    <n v="46"/>
    <x v="1"/>
    <s v="Travel_Rarely"/>
    <n v="1125"/>
    <x v="0"/>
    <n v="10"/>
    <n v="3"/>
    <s v="Marketing"/>
    <n v="1"/>
    <n v="580"/>
    <n v="3"/>
    <x v="0"/>
    <n v="94"/>
    <n v="2"/>
    <n v="3"/>
    <s v="Sales Executive"/>
    <n v="4"/>
    <s v="Married"/>
    <x v="3"/>
    <n v="9071"/>
    <n v="11563"/>
    <n v="2"/>
    <s v="Yes"/>
    <s v="Yes"/>
    <n v="19"/>
    <x v="0"/>
    <n v="3"/>
    <n v="80"/>
    <n v="1"/>
    <n v="15"/>
    <n v="3"/>
    <n v="3"/>
    <n v="3"/>
    <n v="2"/>
    <x v="1"/>
    <n v="2"/>
  </r>
  <r>
    <n v="31"/>
    <x v="1"/>
    <s v="Travel_Rarely"/>
    <n v="1274"/>
    <x v="1"/>
    <n v="9"/>
    <n v="1"/>
    <s v="Life Sciences"/>
    <n v="1"/>
    <n v="581"/>
    <n v="3"/>
    <x v="1"/>
    <n v="33"/>
    <n v="3"/>
    <n v="3"/>
    <s v="Manufacturing Director"/>
    <n v="2"/>
    <s v="Divorced"/>
    <x v="10"/>
    <n v="10648"/>
    <n v="14394"/>
    <n v="1"/>
    <s v="Yes"/>
    <s v="No"/>
    <n v="25"/>
    <x v="1"/>
    <n v="4"/>
    <n v="80"/>
    <n v="1"/>
    <n v="13"/>
    <n v="6"/>
    <n v="4"/>
    <n v="13"/>
    <n v="8"/>
    <x v="0"/>
    <n v="8"/>
  </r>
  <r>
    <n v="33"/>
    <x v="0"/>
    <s v="Travel_Rarely"/>
    <n v="1277"/>
    <x v="1"/>
    <n v="15"/>
    <n v="1"/>
    <s v="Medical"/>
    <n v="1"/>
    <n v="582"/>
    <n v="2"/>
    <x v="1"/>
    <n v="56"/>
    <n v="3"/>
    <n v="3"/>
    <s v="Manager"/>
    <n v="3"/>
    <s v="Married"/>
    <x v="13"/>
    <n v="13610"/>
    <n v="24619"/>
    <n v="7"/>
    <s v="Yes"/>
    <s v="Yes"/>
    <n v="12"/>
    <x v="0"/>
    <n v="4"/>
    <n v="80"/>
    <n v="0"/>
    <n v="15"/>
    <n v="2"/>
    <n v="4"/>
    <n v="7"/>
    <n v="6"/>
    <x v="4"/>
    <n v="7"/>
  </r>
  <r>
    <n v="33"/>
    <x v="0"/>
    <s v="Travel_Rarely"/>
    <n v="587"/>
    <x v="1"/>
    <n v="10"/>
    <n v="1"/>
    <s v="Medical"/>
    <n v="1"/>
    <n v="584"/>
    <n v="1"/>
    <x v="1"/>
    <n v="38"/>
    <n v="1"/>
    <n v="1"/>
    <s v="Laboratory Technician"/>
    <n v="4"/>
    <s v="Divorced"/>
    <x v="2"/>
    <n v="3408"/>
    <n v="6705"/>
    <n v="7"/>
    <s v="Yes"/>
    <s v="No"/>
    <n v="13"/>
    <x v="0"/>
    <n v="1"/>
    <n v="80"/>
    <n v="3"/>
    <n v="8"/>
    <n v="2"/>
    <n v="3"/>
    <n v="4"/>
    <n v="3"/>
    <x v="1"/>
    <n v="3"/>
  </r>
  <r>
    <n v="30"/>
    <x v="1"/>
    <s v="Travel_Rarely"/>
    <n v="413"/>
    <x v="0"/>
    <n v="7"/>
    <n v="1"/>
    <s v="Marketing"/>
    <n v="1"/>
    <n v="585"/>
    <n v="4"/>
    <x v="1"/>
    <n v="57"/>
    <n v="3"/>
    <n v="1"/>
    <s v="Sales Representative"/>
    <n v="2"/>
    <s v="Single"/>
    <x v="1"/>
    <n v="2983"/>
    <n v="18398"/>
    <n v="0"/>
    <s v="Yes"/>
    <s v="No"/>
    <n v="14"/>
    <x v="0"/>
    <n v="1"/>
    <n v="80"/>
    <n v="0"/>
    <n v="4"/>
    <n v="3"/>
    <n v="3"/>
    <n v="3"/>
    <n v="2"/>
    <x v="1"/>
    <n v="2"/>
  </r>
  <r>
    <n v="35"/>
    <x v="1"/>
    <s v="Travel_Rarely"/>
    <n v="1276"/>
    <x v="1"/>
    <n v="16"/>
    <n v="3"/>
    <s v="Life Sciences"/>
    <n v="1"/>
    <n v="586"/>
    <n v="4"/>
    <x v="1"/>
    <n v="72"/>
    <n v="3"/>
    <n v="3"/>
    <s v="Healthcare Representative"/>
    <n v="3"/>
    <s v="Married"/>
    <x v="14"/>
    <n v="7632"/>
    <n v="14295"/>
    <n v="4"/>
    <s v="Yes"/>
    <s v="Yes"/>
    <n v="12"/>
    <x v="0"/>
    <n v="3"/>
    <n v="80"/>
    <n v="0"/>
    <n v="10"/>
    <n v="2"/>
    <n v="3"/>
    <n v="8"/>
    <n v="7"/>
    <x v="0"/>
    <n v="0"/>
  </r>
  <r>
    <n v="31"/>
    <x v="0"/>
    <s v="Travel_Frequently"/>
    <n v="534"/>
    <x v="1"/>
    <n v="20"/>
    <n v="3"/>
    <s v="Life Sciences"/>
    <n v="1"/>
    <n v="587"/>
    <n v="1"/>
    <x v="1"/>
    <n v="66"/>
    <n v="3"/>
    <n v="3"/>
    <s v="Healthcare Representative"/>
    <n v="3"/>
    <s v="Married"/>
    <x v="3"/>
    <n v="9824"/>
    <n v="22908"/>
    <n v="3"/>
    <s v="Yes"/>
    <s v="No"/>
    <n v="12"/>
    <x v="0"/>
    <n v="1"/>
    <n v="80"/>
    <n v="0"/>
    <n v="12"/>
    <n v="2"/>
    <n v="3"/>
    <n v="1"/>
    <n v="0"/>
    <x v="0"/>
    <n v="0"/>
  </r>
  <r>
    <n v="34"/>
    <x v="0"/>
    <s v="Travel_Frequently"/>
    <n v="988"/>
    <x v="2"/>
    <n v="23"/>
    <n v="3"/>
    <s v="Human Resources"/>
    <n v="1"/>
    <n v="590"/>
    <n v="2"/>
    <x v="0"/>
    <n v="43"/>
    <n v="3"/>
    <n v="3"/>
    <s v="Human Resources"/>
    <n v="1"/>
    <s v="Divorced"/>
    <x v="3"/>
    <n v="9950"/>
    <n v="11533"/>
    <n v="9"/>
    <s v="Yes"/>
    <s v="Yes"/>
    <n v="15"/>
    <x v="0"/>
    <n v="3"/>
    <n v="80"/>
    <n v="3"/>
    <n v="11"/>
    <n v="2"/>
    <n v="3"/>
    <n v="3"/>
    <n v="2"/>
    <x v="0"/>
    <n v="2"/>
  </r>
  <r>
    <n v="42"/>
    <x v="1"/>
    <s v="Travel_Frequently"/>
    <n v="1474"/>
    <x v="1"/>
    <n v="5"/>
    <n v="2"/>
    <s v="Other"/>
    <n v="1"/>
    <n v="591"/>
    <n v="2"/>
    <x v="1"/>
    <n v="97"/>
    <n v="3"/>
    <n v="1"/>
    <s v="Laboratory Technician"/>
    <n v="3"/>
    <s v="Married"/>
    <x v="1"/>
    <n v="2093"/>
    <n v="9260"/>
    <n v="4"/>
    <s v="Yes"/>
    <s v="No"/>
    <n v="17"/>
    <x v="0"/>
    <n v="4"/>
    <n v="80"/>
    <n v="1"/>
    <n v="8"/>
    <n v="4"/>
    <n v="3"/>
    <n v="2"/>
    <n v="2"/>
    <x v="3"/>
    <n v="0"/>
  </r>
  <r>
    <n v="36"/>
    <x v="1"/>
    <s v="Non-Travel"/>
    <n v="635"/>
    <x v="0"/>
    <n v="10"/>
    <n v="4"/>
    <s v="Medical"/>
    <n v="1"/>
    <n v="592"/>
    <n v="2"/>
    <x v="1"/>
    <n v="32"/>
    <n v="3"/>
    <n v="3"/>
    <s v="Sales Executive"/>
    <n v="4"/>
    <s v="Single"/>
    <x v="3"/>
    <n v="9980"/>
    <n v="15318"/>
    <n v="1"/>
    <s v="Yes"/>
    <s v="No"/>
    <n v="14"/>
    <x v="0"/>
    <n v="4"/>
    <n v="80"/>
    <n v="0"/>
    <n v="10"/>
    <n v="3"/>
    <n v="2"/>
    <n v="10"/>
    <n v="3"/>
    <x v="10"/>
    <n v="7"/>
  </r>
  <r>
    <n v="22"/>
    <x v="0"/>
    <s v="Travel_Frequently"/>
    <n v="1368"/>
    <x v="1"/>
    <n v="4"/>
    <n v="1"/>
    <s v="Technical Degree"/>
    <n v="1"/>
    <n v="593"/>
    <n v="3"/>
    <x v="1"/>
    <n v="99"/>
    <n v="2"/>
    <n v="1"/>
    <s v="Laboratory Technician"/>
    <n v="3"/>
    <s v="Single"/>
    <x v="2"/>
    <n v="3894"/>
    <n v="9129"/>
    <n v="5"/>
    <s v="Yes"/>
    <s v="No"/>
    <n v="16"/>
    <x v="0"/>
    <n v="3"/>
    <n v="80"/>
    <n v="0"/>
    <n v="4"/>
    <n v="3"/>
    <n v="3"/>
    <n v="2"/>
    <n v="2"/>
    <x v="1"/>
    <n v="2"/>
  </r>
  <r>
    <n v="48"/>
    <x v="1"/>
    <s v="Travel_Rarely"/>
    <n v="163"/>
    <x v="0"/>
    <n v="2"/>
    <n v="5"/>
    <s v="Marketing"/>
    <n v="1"/>
    <n v="595"/>
    <n v="2"/>
    <x v="0"/>
    <n v="37"/>
    <n v="3"/>
    <n v="2"/>
    <s v="Sales Executive"/>
    <n v="4"/>
    <s v="Married"/>
    <x v="4"/>
    <n v="4051"/>
    <n v="19658"/>
    <n v="2"/>
    <s v="Yes"/>
    <s v="No"/>
    <n v="14"/>
    <x v="0"/>
    <n v="1"/>
    <n v="80"/>
    <n v="1"/>
    <n v="14"/>
    <n v="2"/>
    <n v="3"/>
    <n v="9"/>
    <n v="7"/>
    <x v="7"/>
    <n v="7"/>
  </r>
  <r>
    <n v="55"/>
    <x v="1"/>
    <s v="Travel_Rarely"/>
    <n v="1117"/>
    <x v="0"/>
    <n v="18"/>
    <n v="5"/>
    <s v="Life Sciences"/>
    <n v="1"/>
    <n v="597"/>
    <n v="1"/>
    <x v="0"/>
    <n v="83"/>
    <n v="3"/>
    <n v="4"/>
    <s v="Manager"/>
    <n v="2"/>
    <s v="Single"/>
    <x v="17"/>
    <n v="16835"/>
    <n v="9873"/>
    <n v="3"/>
    <s v="Yes"/>
    <s v="No"/>
    <n v="23"/>
    <x v="1"/>
    <n v="4"/>
    <n v="80"/>
    <n v="0"/>
    <n v="37"/>
    <n v="2"/>
    <n v="3"/>
    <n v="10"/>
    <n v="9"/>
    <x v="4"/>
    <n v="7"/>
  </r>
  <r>
    <n v="41"/>
    <x v="1"/>
    <s v="Non-Travel"/>
    <n v="267"/>
    <x v="0"/>
    <n v="10"/>
    <n v="2"/>
    <s v="Life Sciences"/>
    <n v="1"/>
    <n v="599"/>
    <n v="4"/>
    <x v="1"/>
    <n v="56"/>
    <n v="3"/>
    <n v="2"/>
    <s v="Sales Executive"/>
    <n v="4"/>
    <s v="Single"/>
    <x v="9"/>
    <n v="6230"/>
    <n v="13430"/>
    <n v="7"/>
    <s v="Yes"/>
    <s v="No"/>
    <n v="14"/>
    <x v="0"/>
    <n v="4"/>
    <n v="80"/>
    <n v="0"/>
    <n v="16"/>
    <n v="3"/>
    <n v="3"/>
    <n v="14"/>
    <n v="3"/>
    <x v="1"/>
    <n v="10"/>
  </r>
  <r>
    <n v="35"/>
    <x v="1"/>
    <s v="Travel_Rarely"/>
    <n v="619"/>
    <x v="0"/>
    <n v="1"/>
    <n v="3"/>
    <s v="Marketing"/>
    <n v="1"/>
    <n v="600"/>
    <n v="2"/>
    <x v="1"/>
    <n v="85"/>
    <n v="3"/>
    <n v="2"/>
    <s v="Sales Executive"/>
    <n v="3"/>
    <s v="Married"/>
    <x v="4"/>
    <n v="4717"/>
    <n v="18659"/>
    <n v="9"/>
    <s v="Yes"/>
    <s v="No"/>
    <n v="11"/>
    <x v="0"/>
    <n v="3"/>
    <n v="80"/>
    <n v="0"/>
    <n v="15"/>
    <n v="2"/>
    <n v="3"/>
    <n v="11"/>
    <n v="9"/>
    <x v="7"/>
    <n v="9"/>
  </r>
  <r>
    <n v="40"/>
    <x v="1"/>
    <s v="Travel_Rarely"/>
    <n v="302"/>
    <x v="1"/>
    <n v="6"/>
    <n v="3"/>
    <s v="Life Sciences"/>
    <n v="1"/>
    <n v="601"/>
    <n v="2"/>
    <x v="0"/>
    <n v="75"/>
    <n v="3"/>
    <n v="4"/>
    <s v="Manufacturing Director"/>
    <n v="3"/>
    <s v="Single"/>
    <x v="13"/>
    <n v="13237"/>
    <n v="20364"/>
    <n v="7"/>
    <s v="Yes"/>
    <s v="No"/>
    <n v="15"/>
    <x v="0"/>
    <n v="3"/>
    <n v="80"/>
    <n v="0"/>
    <n v="22"/>
    <n v="3"/>
    <n v="3"/>
    <n v="20"/>
    <n v="6"/>
    <x v="8"/>
    <n v="13"/>
  </r>
  <r>
    <n v="39"/>
    <x v="1"/>
    <s v="Travel_Frequently"/>
    <n v="443"/>
    <x v="1"/>
    <n v="8"/>
    <n v="1"/>
    <s v="Life Sciences"/>
    <n v="1"/>
    <n v="602"/>
    <n v="3"/>
    <x v="0"/>
    <n v="48"/>
    <n v="3"/>
    <n v="1"/>
    <s v="Laboratory Technician"/>
    <n v="3"/>
    <s v="Married"/>
    <x v="2"/>
    <n v="3755"/>
    <n v="17872"/>
    <n v="1"/>
    <s v="Yes"/>
    <s v="No"/>
    <n v="11"/>
    <x v="0"/>
    <n v="1"/>
    <n v="80"/>
    <n v="1"/>
    <n v="8"/>
    <n v="3"/>
    <n v="3"/>
    <n v="8"/>
    <n v="3"/>
    <x v="0"/>
    <n v="7"/>
  </r>
  <r>
    <n v="31"/>
    <x v="1"/>
    <s v="Travel_Rarely"/>
    <n v="828"/>
    <x v="0"/>
    <n v="2"/>
    <n v="1"/>
    <s v="Life Sciences"/>
    <n v="1"/>
    <n v="604"/>
    <n v="2"/>
    <x v="1"/>
    <n v="77"/>
    <n v="3"/>
    <n v="2"/>
    <s v="Sales Executive"/>
    <n v="4"/>
    <s v="Single"/>
    <x v="9"/>
    <n v="6582"/>
    <n v="8346"/>
    <n v="4"/>
    <s v="Yes"/>
    <s v="Yes"/>
    <n v="13"/>
    <x v="0"/>
    <n v="3"/>
    <n v="80"/>
    <n v="0"/>
    <n v="10"/>
    <n v="2"/>
    <n v="4"/>
    <n v="6"/>
    <n v="5"/>
    <x v="0"/>
    <n v="5"/>
  </r>
  <r>
    <n v="42"/>
    <x v="1"/>
    <s v="Travel_Rarely"/>
    <n v="319"/>
    <x v="1"/>
    <n v="24"/>
    <n v="3"/>
    <s v="Medical"/>
    <n v="1"/>
    <n v="605"/>
    <n v="4"/>
    <x v="1"/>
    <n v="56"/>
    <n v="3"/>
    <n v="3"/>
    <s v="Manufacturing Director"/>
    <n v="1"/>
    <s v="Married"/>
    <x v="14"/>
    <n v="7406"/>
    <n v="6950"/>
    <n v="1"/>
    <s v="Yes"/>
    <s v="Yes"/>
    <n v="21"/>
    <x v="1"/>
    <n v="4"/>
    <n v="80"/>
    <n v="1"/>
    <n v="10"/>
    <n v="5"/>
    <n v="2"/>
    <n v="10"/>
    <n v="9"/>
    <x v="8"/>
    <n v="8"/>
  </r>
  <r>
    <n v="45"/>
    <x v="1"/>
    <s v="Travel_Rarely"/>
    <n v="561"/>
    <x v="0"/>
    <n v="2"/>
    <n v="3"/>
    <s v="Other"/>
    <n v="1"/>
    <n v="606"/>
    <n v="4"/>
    <x v="1"/>
    <n v="61"/>
    <n v="3"/>
    <n v="2"/>
    <s v="Sales Executive"/>
    <n v="2"/>
    <s v="Married"/>
    <x v="4"/>
    <n v="4805"/>
    <n v="16177"/>
    <n v="0"/>
    <s v="Yes"/>
    <s v="No"/>
    <n v="19"/>
    <x v="0"/>
    <n v="2"/>
    <n v="80"/>
    <n v="1"/>
    <n v="9"/>
    <n v="3"/>
    <n v="4"/>
    <n v="8"/>
    <n v="7"/>
    <x v="2"/>
    <n v="7"/>
  </r>
  <r>
    <n v="26"/>
    <x v="0"/>
    <s v="Travel_Frequently"/>
    <n v="426"/>
    <x v="2"/>
    <n v="17"/>
    <n v="4"/>
    <s v="Life Sciences"/>
    <n v="1"/>
    <n v="608"/>
    <n v="2"/>
    <x v="0"/>
    <n v="58"/>
    <n v="3"/>
    <n v="1"/>
    <s v="Human Resources"/>
    <n v="3"/>
    <s v="Divorced"/>
    <x v="1"/>
    <n v="2741"/>
    <n v="22808"/>
    <n v="0"/>
    <s v="Yes"/>
    <s v="Yes"/>
    <n v="11"/>
    <x v="0"/>
    <n v="2"/>
    <n v="80"/>
    <n v="1"/>
    <n v="8"/>
    <n v="2"/>
    <n v="2"/>
    <n v="7"/>
    <n v="7"/>
    <x v="1"/>
    <n v="0"/>
  </r>
  <r>
    <n v="29"/>
    <x v="1"/>
    <s v="Travel_Rarely"/>
    <n v="232"/>
    <x v="1"/>
    <n v="19"/>
    <n v="3"/>
    <s v="Technical Degree"/>
    <n v="1"/>
    <n v="611"/>
    <n v="4"/>
    <x v="1"/>
    <n v="34"/>
    <n v="3"/>
    <n v="2"/>
    <s v="Manufacturing Director"/>
    <n v="4"/>
    <s v="Divorced"/>
    <x v="4"/>
    <n v="4262"/>
    <n v="22645"/>
    <n v="4"/>
    <s v="Yes"/>
    <s v="No"/>
    <n v="12"/>
    <x v="0"/>
    <n v="2"/>
    <n v="80"/>
    <n v="2"/>
    <n v="8"/>
    <n v="2"/>
    <n v="4"/>
    <n v="3"/>
    <n v="2"/>
    <x v="1"/>
    <n v="2"/>
  </r>
  <r>
    <n v="33"/>
    <x v="1"/>
    <s v="Travel_Rarely"/>
    <n v="922"/>
    <x v="1"/>
    <n v="1"/>
    <n v="5"/>
    <s v="Medical"/>
    <n v="1"/>
    <n v="612"/>
    <n v="1"/>
    <x v="0"/>
    <n v="95"/>
    <n v="4"/>
    <n v="4"/>
    <s v="Research Director"/>
    <n v="3"/>
    <s v="Divorced"/>
    <x v="17"/>
    <n v="16184"/>
    <n v="22578"/>
    <n v="4"/>
    <s v="Yes"/>
    <s v="No"/>
    <n v="19"/>
    <x v="0"/>
    <n v="3"/>
    <n v="80"/>
    <n v="1"/>
    <n v="10"/>
    <n v="2"/>
    <n v="3"/>
    <n v="6"/>
    <n v="1"/>
    <x v="0"/>
    <n v="5"/>
  </r>
  <r>
    <n v="31"/>
    <x v="1"/>
    <s v="Travel_Rarely"/>
    <n v="688"/>
    <x v="0"/>
    <n v="7"/>
    <n v="3"/>
    <s v="Life Sciences"/>
    <n v="1"/>
    <n v="613"/>
    <n v="3"/>
    <x v="1"/>
    <n v="44"/>
    <n v="2"/>
    <n v="3"/>
    <s v="Manager"/>
    <n v="4"/>
    <s v="Divorced"/>
    <x v="6"/>
    <n v="11557"/>
    <n v="25291"/>
    <n v="9"/>
    <s v="Yes"/>
    <s v="No"/>
    <n v="21"/>
    <x v="1"/>
    <n v="3"/>
    <n v="80"/>
    <n v="1"/>
    <n v="10"/>
    <n v="3"/>
    <n v="2"/>
    <n v="5"/>
    <n v="4"/>
    <x v="0"/>
    <n v="1"/>
  </r>
  <r>
    <n v="18"/>
    <x v="0"/>
    <s v="Travel_Frequently"/>
    <n v="1306"/>
    <x v="0"/>
    <n v="5"/>
    <n v="3"/>
    <s v="Marketing"/>
    <n v="1"/>
    <n v="614"/>
    <n v="2"/>
    <x v="1"/>
    <n v="69"/>
    <n v="3"/>
    <n v="1"/>
    <s v="Sales Representative"/>
    <n v="2"/>
    <s v="Single"/>
    <x v="7"/>
    <n v="1878"/>
    <n v="8059"/>
    <n v="1"/>
    <s v="Yes"/>
    <s v="Yes"/>
    <n v="14"/>
    <x v="0"/>
    <n v="4"/>
    <n v="80"/>
    <n v="0"/>
    <n v="0"/>
    <n v="3"/>
    <n v="3"/>
    <n v="0"/>
    <n v="0"/>
    <x v="0"/>
    <n v="0"/>
  </r>
  <r>
    <n v="40"/>
    <x v="1"/>
    <s v="Non-Travel"/>
    <n v="1094"/>
    <x v="0"/>
    <n v="28"/>
    <n v="3"/>
    <s v="Other"/>
    <n v="1"/>
    <n v="615"/>
    <n v="3"/>
    <x v="1"/>
    <n v="58"/>
    <n v="1"/>
    <n v="3"/>
    <s v="Sales Executive"/>
    <n v="1"/>
    <s v="Divorced"/>
    <x v="10"/>
    <n v="10932"/>
    <n v="11373"/>
    <n v="3"/>
    <s v="Yes"/>
    <s v="No"/>
    <n v="15"/>
    <x v="0"/>
    <n v="3"/>
    <n v="80"/>
    <n v="1"/>
    <n v="20"/>
    <n v="2"/>
    <n v="3"/>
    <n v="1"/>
    <n v="0"/>
    <x v="0"/>
    <n v="1"/>
  </r>
  <r>
    <n v="41"/>
    <x v="1"/>
    <s v="Non-Travel"/>
    <n v="509"/>
    <x v="1"/>
    <n v="2"/>
    <n v="4"/>
    <s v="Other"/>
    <n v="1"/>
    <n v="616"/>
    <n v="1"/>
    <x v="0"/>
    <n v="62"/>
    <n v="2"/>
    <n v="2"/>
    <s v="Healthcare Representative"/>
    <n v="3"/>
    <s v="Single"/>
    <x v="9"/>
    <n v="6811"/>
    <n v="2112"/>
    <n v="2"/>
    <s v="Yes"/>
    <s v="Yes"/>
    <n v="17"/>
    <x v="0"/>
    <n v="1"/>
    <n v="80"/>
    <n v="0"/>
    <n v="10"/>
    <n v="3"/>
    <n v="3"/>
    <n v="8"/>
    <n v="7"/>
    <x v="0"/>
    <n v="7"/>
  </r>
  <r>
    <n v="26"/>
    <x v="1"/>
    <s v="Travel_Rarely"/>
    <n v="775"/>
    <x v="0"/>
    <n v="29"/>
    <n v="2"/>
    <s v="Medical"/>
    <n v="1"/>
    <n v="618"/>
    <n v="1"/>
    <x v="1"/>
    <n v="45"/>
    <n v="3"/>
    <n v="2"/>
    <s v="Sales Executive"/>
    <n v="3"/>
    <s v="Divorced"/>
    <x v="4"/>
    <n v="4306"/>
    <n v="4267"/>
    <n v="5"/>
    <s v="Yes"/>
    <s v="No"/>
    <n v="12"/>
    <x v="0"/>
    <n v="1"/>
    <n v="80"/>
    <n v="2"/>
    <n v="8"/>
    <n v="5"/>
    <n v="3"/>
    <n v="0"/>
    <n v="0"/>
    <x v="0"/>
    <n v="0"/>
  </r>
  <r>
    <n v="35"/>
    <x v="1"/>
    <s v="Travel_Rarely"/>
    <n v="195"/>
    <x v="0"/>
    <n v="1"/>
    <n v="3"/>
    <s v="Medical"/>
    <n v="1"/>
    <n v="620"/>
    <n v="1"/>
    <x v="0"/>
    <n v="80"/>
    <n v="3"/>
    <n v="2"/>
    <s v="Sales Executive"/>
    <n v="3"/>
    <s v="Single"/>
    <x v="4"/>
    <n v="4859"/>
    <n v="6698"/>
    <n v="1"/>
    <s v="Yes"/>
    <s v="No"/>
    <n v="16"/>
    <x v="0"/>
    <n v="4"/>
    <n v="80"/>
    <n v="0"/>
    <n v="5"/>
    <n v="3"/>
    <n v="3"/>
    <n v="5"/>
    <n v="4"/>
    <x v="0"/>
    <n v="3"/>
  </r>
  <r>
    <n v="34"/>
    <x v="1"/>
    <s v="Travel_Rarely"/>
    <n v="258"/>
    <x v="0"/>
    <n v="21"/>
    <n v="4"/>
    <s v="Life Sciences"/>
    <n v="1"/>
    <n v="621"/>
    <n v="4"/>
    <x v="1"/>
    <n v="74"/>
    <n v="4"/>
    <n v="2"/>
    <s v="Sales Executive"/>
    <n v="4"/>
    <s v="Single"/>
    <x v="0"/>
    <n v="5337"/>
    <n v="19921"/>
    <n v="1"/>
    <s v="Yes"/>
    <s v="No"/>
    <n v="12"/>
    <x v="0"/>
    <n v="4"/>
    <n v="80"/>
    <n v="0"/>
    <n v="10"/>
    <n v="3"/>
    <n v="3"/>
    <n v="10"/>
    <n v="7"/>
    <x v="8"/>
    <n v="7"/>
  </r>
  <r>
    <n v="26"/>
    <x v="0"/>
    <s v="Travel_Rarely"/>
    <n v="471"/>
    <x v="1"/>
    <n v="24"/>
    <n v="3"/>
    <s v="Technical Degree"/>
    <n v="1"/>
    <n v="622"/>
    <n v="3"/>
    <x v="1"/>
    <n v="66"/>
    <n v="1"/>
    <n v="1"/>
    <s v="Laboratory Technician"/>
    <n v="4"/>
    <s v="Single"/>
    <x v="1"/>
    <n v="2340"/>
    <n v="23213"/>
    <n v="1"/>
    <s v="Yes"/>
    <s v="Yes"/>
    <n v="18"/>
    <x v="0"/>
    <n v="2"/>
    <n v="80"/>
    <n v="0"/>
    <n v="1"/>
    <n v="3"/>
    <n v="1"/>
    <n v="1"/>
    <n v="0"/>
    <x v="0"/>
    <n v="0"/>
  </r>
  <r>
    <n v="37"/>
    <x v="1"/>
    <s v="Travel_Rarely"/>
    <n v="799"/>
    <x v="1"/>
    <n v="1"/>
    <n v="3"/>
    <s v="Technical Degree"/>
    <n v="1"/>
    <n v="623"/>
    <n v="2"/>
    <x v="0"/>
    <n v="59"/>
    <n v="3"/>
    <n v="3"/>
    <s v="Manufacturing Director"/>
    <n v="4"/>
    <s v="Single"/>
    <x v="14"/>
    <n v="7491"/>
    <n v="23848"/>
    <n v="4"/>
    <s v="Yes"/>
    <s v="No"/>
    <n v="17"/>
    <x v="0"/>
    <n v="4"/>
    <n v="80"/>
    <n v="0"/>
    <n v="12"/>
    <n v="3"/>
    <n v="4"/>
    <n v="6"/>
    <n v="5"/>
    <x v="1"/>
    <n v="2"/>
  </r>
  <r>
    <n v="46"/>
    <x v="1"/>
    <s v="Travel_Frequently"/>
    <n v="1034"/>
    <x v="1"/>
    <n v="18"/>
    <n v="1"/>
    <s v="Medical"/>
    <n v="1"/>
    <n v="624"/>
    <n v="1"/>
    <x v="0"/>
    <n v="86"/>
    <n v="3"/>
    <n v="3"/>
    <s v="Healthcare Representative"/>
    <n v="3"/>
    <s v="Married"/>
    <x v="10"/>
    <n v="10527"/>
    <n v="8984"/>
    <n v="5"/>
    <s v="Yes"/>
    <s v="No"/>
    <n v="11"/>
    <x v="0"/>
    <n v="4"/>
    <n v="80"/>
    <n v="0"/>
    <n v="28"/>
    <n v="3"/>
    <n v="2"/>
    <n v="2"/>
    <n v="2"/>
    <x v="1"/>
    <n v="2"/>
  </r>
  <r>
    <n v="41"/>
    <x v="1"/>
    <s v="Travel_Rarely"/>
    <n v="1276"/>
    <x v="0"/>
    <n v="2"/>
    <n v="5"/>
    <s v="Life Sciences"/>
    <n v="1"/>
    <n v="625"/>
    <n v="2"/>
    <x v="0"/>
    <n v="91"/>
    <n v="3"/>
    <n v="4"/>
    <s v="Manager"/>
    <n v="1"/>
    <s v="Married"/>
    <x v="17"/>
    <n v="16595"/>
    <n v="5626"/>
    <n v="7"/>
    <s v="Yes"/>
    <s v="No"/>
    <n v="16"/>
    <x v="0"/>
    <n v="2"/>
    <n v="80"/>
    <n v="1"/>
    <n v="22"/>
    <n v="2"/>
    <n v="3"/>
    <n v="18"/>
    <n v="16"/>
    <x v="14"/>
    <n v="8"/>
  </r>
  <r>
    <n v="37"/>
    <x v="1"/>
    <s v="Non-Travel"/>
    <n v="142"/>
    <x v="0"/>
    <n v="9"/>
    <n v="4"/>
    <s v="Medical"/>
    <n v="1"/>
    <n v="626"/>
    <n v="1"/>
    <x v="1"/>
    <n v="69"/>
    <n v="3"/>
    <n v="3"/>
    <s v="Sales Executive"/>
    <n v="2"/>
    <s v="Divorced"/>
    <x v="12"/>
    <n v="8834"/>
    <n v="24666"/>
    <n v="1"/>
    <s v="Yes"/>
    <s v="No"/>
    <n v="13"/>
    <x v="0"/>
    <n v="4"/>
    <n v="80"/>
    <n v="1"/>
    <n v="9"/>
    <n v="6"/>
    <n v="3"/>
    <n v="9"/>
    <n v="5"/>
    <x v="4"/>
    <n v="7"/>
  </r>
  <r>
    <n v="52"/>
    <x v="1"/>
    <s v="Travel_Rarely"/>
    <n v="956"/>
    <x v="1"/>
    <n v="6"/>
    <n v="2"/>
    <s v="Technical Degree"/>
    <n v="1"/>
    <n v="630"/>
    <n v="4"/>
    <x v="1"/>
    <n v="78"/>
    <n v="3"/>
    <n v="2"/>
    <s v="Research Scientist"/>
    <n v="1"/>
    <s v="Divorced"/>
    <x v="0"/>
    <n v="5577"/>
    <n v="22087"/>
    <n v="3"/>
    <s v="Yes"/>
    <s v="Yes"/>
    <n v="12"/>
    <x v="0"/>
    <n v="2"/>
    <n v="80"/>
    <n v="2"/>
    <n v="18"/>
    <n v="3"/>
    <n v="3"/>
    <n v="10"/>
    <n v="9"/>
    <x v="7"/>
    <n v="9"/>
  </r>
  <r>
    <n v="32"/>
    <x v="0"/>
    <s v="Non-Travel"/>
    <n v="1474"/>
    <x v="0"/>
    <n v="11"/>
    <n v="4"/>
    <s v="Other"/>
    <n v="1"/>
    <n v="631"/>
    <n v="4"/>
    <x v="1"/>
    <n v="60"/>
    <n v="4"/>
    <n v="2"/>
    <s v="Sales Executive"/>
    <n v="3"/>
    <s v="Married"/>
    <x v="4"/>
    <n v="4707"/>
    <n v="23914"/>
    <n v="8"/>
    <s v="Yes"/>
    <s v="No"/>
    <n v="12"/>
    <x v="0"/>
    <n v="4"/>
    <n v="80"/>
    <n v="0"/>
    <n v="6"/>
    <n v="2"/>
    <n v="3"/>
    <n v="4"/>
    <n v="2"/>
    <x v="1"/>
    <n v="2"/>
  </r>
  <r>
    <n v="24"/>
    <x v="1"/>
    <s v="Travel_Frequently"/>
    <n v="535"/>
    <x v="0"/>
    <n v="24"/>
    <n v="3"/>
    <s v="Medical"/>
    <n v="1"/>
    <n v="632"/>
    <n v="4"/>
    <x v="1"/>
    <n v="38"/>
    <n v="3"/>
    <n v="1"/>
    <s v="Sales Representative"/>
    <n v="4"/>
    <s v="Married"/>
    <x v="1"/>
    <n v="2400"/>
    <n v="5530"/>
    <n v="0"/>
    <s v="Yes"/>
    <s v="No"/>
    <n v="13"/>
    <x v="0"/>
    <n v="3"/>
    <n v="80"/>
    <n v="2"/>
    <n v="3"/>
    <n v="3"/>
    <n v="3"/>
    <n v="2"/>
    <n v="2"/>
    <x v="3"/>
    <n v="1"/>
  </r>
  <r>
    <n v="38"/>
    <x v="1"/>
    <s v="Travel_Rarely"/>
    <n v="1495"/>
    <x v="1"/>
    <n v="10"/>
    <n v="3"/>
    <s v="Medical"/>
    <n v="1"/>
    <n v="634"/>
    <n v="3"/>
    <x v="0"/>
    <n v="76"/>
    <n v="3"/>
    <n v="2"/>
    <s v="Healthcare Representative"/>
    <n v="3"/>
    <s v="Married"/>
    <x v="3"/>
    <n v="9824"/>
    <n v="22174"/>
    <n v="3"/>
    <s v="Yes"/>
    <s v="No"/>
    <n v="19"/>
    <x v="0"/>
    <n v="3"/>
    <n v="80"/>
    <n v="1"/>
    <n v="18"/>
    <n v="4"/>
    <n v="3"/>
    <n v="1"/>
    <n v="0"/>
    <x v="0"/>
    <n v="0"/>
  </r>
  <r>
    <n v="37"/>
    <x v="1"/>
    <s v="Travel_Rarely"/>
    <n v="446"/>
    <x v="1"/>
    <n v="1"/>
    <n v="4"/>
    <s v="Life Sciences"/>
    <n v="1"/>
    <n v="635"/>
    <n v="2"/>
    <x v="0"/>
    <n v="65"/>
    <n v="3"/>
    <n v="2"/>
    <s v="Manufacturing Director"/>
    <n v="2"/>
    <s v="Married"/>
    <x v="9"/>
    <n v="6447"/>
    <n v="15701"/>
    <n v="6"/>
    <s v="Yes"/>
    <s v="No"/>
    <n v="12"/>
    <x v="0"/>
    <n v="2"/>
    <n v="80"/>
    <n v="1"/>
    <n v="8"/>
    <n v="2"/>
    <n v="2"/>
    <n v="6"/>
    <n v="5"/>
    <x v="5"/>
    <n v="3"/>
  </r>
  <r>
    <n v="49"/>
    <x v="1"/>
    <s v="Travel_Rarely"/>
    <n v="1245"/>
    <x v="1"/>
    <n v="18"/>
    <n v="4"/>
    <s v="Life Sciences"/>
    <n v="1"/>
    <n v="638"/>
    <n v="4"/>
    <x v="1"/>
    <n v="58"/>
    <n v="2"/>
    <n v="5"/>
    <s v="Research Director"/>
    <n v="3"/>
    <s v="Divorced"/>
    <x v="8"/>
    <n v="19502"/>
    <n v="2125"/>
    <n v="1"/>
    <s v="Yes"/>
    <s v="Yes"/>
    <n v="17"/>
    <x v="0"/>
    <n v="3"/>
    <n v="80"/>
    <n v="1"/>
    <n v="31"/>
    <n v="5"/>
    <n v="3"/>
    <n v="31"/>
    <n v="9"/>
    <x v="0"/>
    <n v="9"/>
  </r>
  <r>
    <n v="24"/>
    <x v="1"/>
    <s v="Travel_Rarely"/>
    <n v="691"/>
    <x v="1"/>
    <n v="23"/>
    <n v="3"/>
    <s v="Medical"/>
    <n v="1"/>
    <n v="639"/>
    <n v="2"/>
    <x v="1"/>
    <n v="89"/>
    <n v="4"/>
    <n v="1"/>
    <s v="Research Scientist"/>
    <n v="4"/>
    <s v="Married"/>
    <x v="1"/>
    <n v="2725"/>
    <n v="21630"/>
    <n v="1"/>
    <s v="Yes"/>
    <s v="Yes"/>
    <n v="11"/>
    <x v="0"/>
    <n v="2"/>
    <n v="80"/>
    <n v="2"/>
    <n v="6"/>
    <n v="3"/>
    <n v="3"/>
    <n v="6"/>
    <n v="5"/>
    <x v="1"/>
    <n v="4"/>
  </r>
  <r>
    <n v="26"/>
    <x v="1"/>
    <s v="Travel_Rarely"/>
    <n v="703"/>
    <x v="0"/>
    <n v="28"/>
    <n v="2"/>
    <s v="Marketing"/>
    <n v="1"/>
    <n v="641"/>
    <n v="1"/>
    <x v="1"/>
    <n v="66"/>
    <n v="3"/>
    <n v="2"/>
    <s v="Sales Executive"/>
    <n v="2"/>
    <s v="Married"/>
    <x v="9"/>
    <n v="6272"/>
    <n v="7428"/>
    <n v="1"/>
    <s v="Yes"/>
    <s v="No"/>
    <n v="20"/>
    <x v="1"/>
    <n v="4"/>
    <n v="80"/>
    <n v="2"/>
    <n v="6"/>
    <n v="5"/>
    <n v="4"/>
    <n v="5"/>
    <n v="3"/>
    <x v="1"/>
    <n v="4"/>
  </r>
  <r>
    <n v="24"/>
    <x v="1"/>
    <s v="Travel_Rarely"/>
    <n v="823"/>
    <x v="1"/>
    <n v="17"/>
    <n v="2"/>
    <s v="Other"/>
    <n v="1"/>
    <n v="643"/>
    <n v="4"/>
    <x v="1"/>
    <n v="94"/>
    <n v="2"/>
    <n v="1"/>
    <s v="Laboratory Technician"/>
    <n v="2"/>
    <s v="Married"/>
    <x v="1"/>
    <n v="2127"/>
    <n v="9100"/>
    <n v="1"/>
    <s v="Yes"/>
    <s v="No"/>
    <n v="21"/>
    <x v="1"/>
    <n v="4"/>
    <n v="80"/>
    <n v="1"/>
    <n v="1"/>
    <n v="2"/>
    <n v="3"/>
    <n v="1"/>
    <n v="0"/>
    <x v="0"/>
    <n v="0"/>
  </r>
  <r>
    <n v="50"/>
    <x v="1"/>
    <s v="Travel_Frequently"/>
    <n v="1246"/>
    <x v="2"/>
    <n v="3"/>
    <n v="3"/>
    <s v="Medical"/>
    <n v="1"/>
    <n v="644"/>
    <n v="1"/>
    <x v="1"/>
    <n v="99"/>
    <n v="3"/>
    <n v="5"/>
    <s v="Manager"/>
    <n v="2"/>
    <s v="Married"/>
    <x v="11"/>
    <n v="18200"/>
    <n v="7999"/>
    <n v="1"/>
    <s v="Yes"/>
    <s v="No"/>
    <n v="11"/>
    <x v="0"/>
    <n v="3"/>
    <n v="80"/>
    <n v="1"/>
    <n v="32"/>
    <n v="2"/>
    <n v="3"/>
    <n v="32"/>
    <n v="5"/>
    <x v="13"/>
    <n v="7"/>
  </r>
  <r>
    <n v="25"/>
    <x v="1"/>
    <s v="Travel_Rarely"/>
    <n v="622"/>
    <x v="0"/>
    <n v="13"/>
    <n v="1"/>
    <s v="Medical"/>
    <n v="1"/>
    <n v="645"/>
    <n v="2"/>
    <x v="1"/>
    <n v="40"/>
    <n v="3"/>
    <n v="1"/>
    <s v="Sales Representative"/>
    <n v="3"/>
    <s v="Married"/>
    <x v="1"/>
    <n v="2096"/>
    <n v="26376"/>
    <n v="1"/>
    <s v="Yes"/>
    <s v="No"/>
    <n v="11"/>
    <x v="0"/>
    <n v="3"/>
    <n v="80"/>
    <n v="0"/>
    <n v="7"/>
    <n v="1"/>
    <n v="3"/>
    <n v="7"/>
    <n v="4"/>
    <x v="0"/>
    <n v="6"/>
  </r>
  <r>
    <n v="24"/>
    <x v="0"/>
    <s v="Travel_Frequently"/>
    <n v="1287"/>
    <x v="1"/>
    <n v="7"/>
    <n v="3"/>
    <s v="Life Sciences"/>
    <n v="1"/>
    <n v="647"/>
    <n v="1"/>
    <x v="0"/>
    <n v="55"/>
    <n v="3"/>
    <n v="1"/>
    <s v="Laboratory Technician"/>
    <n v="3"/>
    <s v="Married"/>
    <x v="1"/>
    <n v="2886"/>
    <n v="14168"/>
    <n v="1"/>
    <s v="Yes"/>
    <s v="Yes"/>
    <n v="16"/>
    <x v="0"/>
    <n v="4"/>
    <n v="80"/>
    <n v="1"/>
    <n v="6"/>
    <n v="4"/>
    <n v="3"/>
    <n v="6"/>
    <n v="3"/>
    <x v="1"/>
    <n v="2"/>
  </r>
  <r>
    <n v="30"/>
    <x v="0"/>
    <s v="Travel_Frequently"/>
    <n v="448"/>
    <x v="0"/>
    <n v="12"/>
    <n v="4"/>
    <s v="Life Sciences"/>
    <n v="1"/>
    <n v="648"/>
    <n v="2"/>
    <x v="1"/>
    <n v="74"/>
    <n v="2"/>
    <n v="1"/>
    <s v="Sales Representative"/>
    <n v="1"/>
    <s v="Married"/>
    <x v="1"/>
    <n v="2033"/>
    <n v="14470"/>
    <n v="1"/>
    <s v="Yes"/>
    <s v="No"/>
    <n v="18"/>
    <x v="0"/>
    <n v="3"/>
    <n v="80"/>
    <n v="1"/>
    <n v="1"/>
    <n v="2"/>
    <n v="4"/>
    <n v="1"/>
    <n v="0"/>
    <x v="0"/>
    <n v="0"/>
  </r>
  <r>
    <n v="34"/>
    <x v="1"/>
    <s v="Travel_Rarely"/>
    <n v="254"/>
    <x v="1"/>
    <n v="1"/>
    <n v="2"/>
    <s v="Life Sciences"/>
    <n v="1"/>
    <n v="649"/>
    <n v="2"/>
    <x v="1"/>
    <n v="83"/>
    <n v="2"/>
    <n v="1"/>
    <s v="Research Scientist"/>
    <n v="4"/>
    <s v="Married"/>
    <x v="2"/>
    <n v="3622"/>
    <n v="22794"/>
    <n v="1"/>
    <s v="Yes"/>
    <s v="Yes"/>
    <n v="13"/>
    <x v="0"/>
    <n v="4"/>
    <n v="80"/>
    <n v="1"/>
    <n v="6"/>
    <n v="3"/>
    <n v="3"/>
    <n v="6"/>
    <n v="5"/>
    <x v="1"/>
    <n v="3"/>
  </r>
  <r>
    <n v="31"/>
    <x v="0"/>
    <s v="Travel_Rarely"/>
    <n v="1365"/>
    <x v="0"/>
    <n v="13"/>
    <n v="4"/>
    <s v="Medical"/>
    <n v="1"/>
    <n v="650"/>
    <n v="2"/>
    <x v="1"/>
    <n v="46"/>
    <n v="3"/>
    <n v="2"/>
    <s v="Sales Executive"/>
    <n v="1"/>
    <s v="Divorced"/>
    <x v="4"/>
    <n v="4233"/>
    <n v="11512"/>
    <n v="2"/>
    <s v="Yes"/>
    <s v="No"/>
    <n v="17"/>
    <x v="0"/>
    <n v="3"/>
    <n v="80"/>
    <n v="0"/>
    <n v="9"/>
    <n v="2"/>
    <n v="1"/>
    <n v="3"/>
    <n v="1"/>
    <x v="1"/>
    <n v="2"/>
  </r>
  <r>
    <n v="35"/>
    <x v="1"/>
    <s v="Travel_Rarely"/>
    <n v="538"/>
    <x v="1"/>
    <n v="25"/>
    <n v="2"/>
    <s v="Other"/>
    <n v="1"/>
    <n v="652"/>
    <n v="1"/>
    <x v="1"/>
    <n v="54"/>
    <n v="2"/>
    <n v="2"/>
    <s v="Laboratory Technician"/>
    <n v="4"/>
    <s v="Single"/>
    <x v="2"/>
    <n v="3681"/>
    <n v="14004"/>
    <n v="4"/>
    <s v="Yes"/>
    <s v="No"/>
    <n v="14"/>
    <x v="0"/>
    <n v="4"/>
    <n v="80"/>
    <n v="0"/>
    <n v="9"/>
    <n v="3"/>
    <n v="3"/>
    <n v="3"/>
    <n v="2"/>
    <x v="0"/>
    <n v="2"/>
  </r>
  <r>
    <n v="31"/>
    <x v="1"/>
    <s v="Travel_Rarely"/>
    <n v="525"/>
    <x v="0"/>
    <n v="6"/>
    <n v="4"/>
    <s v="Medical"/>
    <n v="1"/>
    <n v="653"/>
    <n v="1"/>
    <x v="1"/>
    <n v="66"/>
    <n v="4"/>
    <n v="2"/>
    <s v="Sales Executive"/>
    <n v="4"/>
    <s v="Divorced"/>
    <x v="0"/>
    <n v="5460"/>
    <n v="6219"/>
    <n v="4"/>
    <s v="Yes"/>
    <s v="No"/>
    <n v="22"/>
    <x v="1"/>
    <n v="4"/>
    <n v="80"/>
    <n v="2"/>
    <n v="13"/>
    <n v="4"/>
    <n v="4"/>
    <n v="7"/>
    <n v="7"/>
    <x v="8"/>
    <n v="7"/>
  </r>
  <r>
    <n v="27"/>
    <x v="1"/>
    <s v="Travel_Rarely"/>
    <n v="798"/>
    <x v="1"/>
    <n v="6"/>
    <n v="4"/>
    <s v="Medical"/>
    <n v="1"/>
    <n v="655"/>
    <n v="1"/>
    <x v="0"/>
    <n v="66"/>
    <n v="2"/>
    <n v="1"/>
    <s v="Research Scientist"/>
    <n v="3"/>
    <s v="Divorced"/>
    <x v="1"/>
    <n v="2187"/>
    <n v="5013"/>
    <n v="0"/>
    <s v="Yes"/>
    <s v="No"/>
    <n v="12"/>
    <x v="0"/>
    <n v="3"/>
    <n v="80"/>
    <n v="2"/>
    <n v="6"/>
    <n v="5"/>
    <n v="2"/>
    <n v="5"/>
    <n v="3"/>
    <x v="0"/>
    <n v="3"/>
  </r>
  <r>
    <n v="37"/>
    <x v="1"/>
    <s v="Travel_Rarely"/>
    <n v="558"/>
    <x v="0"/>
    <n v="2"/>
    <n v="3"/>
    <s v="Marketing"/>
    <n v="1"/>
    <n v="656"/>
    <n v="4"/>
    <x v="1"/>
    <n v="75"/>
    <n v="3"/>
    <n v="2"/>
    <s v="Sales Executive"/>
    <n v="3"/>
    <s v="Married"/>
    <x v="3"/>
    <n v="9602"/>
    <n v="3010"/>
    <n v="4"/>
    <s v="Yes"/>
    <s v="Yes"/>
    <n v="11"/>
    <x v="0"/>
    <n v="3"/>
    <n v="80"/>
    <n v="1"/>
    <n v="17"/>
    <n v="3"/>
    <n v="2"/>
    <n v="3"/>
    <n v="0"/>
    <x v="1"/>
    <n v="0"/>
  </r>
  <r>
    <n v="20"/>
    <x v="1"/>
    <s v="Travel_Rarely"/>
    <n v="959"/>
    <x v="1"/>
    <n v="1"/>
    <n v="3"/>
    <s v="Life Sciences"/>
    <n v="1"/>
    <n v="657"/>
    <n v="4"/>
    <x v="0"/>
    <n v="83"/>
    <n v="2"/>
    <n v="1"/>
    <s v="Research Scientist"/>
    <n v="2"/>
    <s v="Single"/>
    <x v="1"/>
    <n v="2836"/>
    <n v="11757"/>
    <n v="1"/>
    <s v="Yes"/>
    <s v="No"/>
    <n v="13"/>
    <x v="0"/>
    <n v="4"/>
    <n v="80"/>
    <n v="0"/>
    <n v="1"/>
    <n v="0"/>
    <n v="4"/>
    <n v="1"/>
    <n v="0"/>
    <x v="0"/>
    <n v="0"/>
  </r>
  <r>
    <n v="42"/>
    <x v="1"/>
    <s v="Travel_Rarely"/>
    <n v="622"/>
    <x v="1"/>
    <n v="2"/>
    <n v="4"/>
    <s v="Life Sciences"/>
    <n v="1"/>
    <n v="659"/>
    <n v="3"/>
    <x v="0"/>
    <n v="81"/>
    <n v="3"/>
    <n v="2"/>
    <s v="Healthcare Representative"/>
    <n v="4"/>
    <s v="Married"/>
    <x v="4"/>
    <n v="4089"/>
    <n v="5718"/>
    <n v="1"/>
    <s v="Yes"/>
    <s v="No"/>
    <n v="13"/>
    <x v="0"/>
    <n v="2"/>
    <n v="80"/>
    <n v="2"/>
    <n v="10"/>
    <n v="4"/>
    <n v="3"/>
    <n v="10"/>
    <n v="2"/>
    <x v="3"/>
    <n v="2"/>
  </r>
  <r>
    <n v="43"/>
    <x v="1"/>
    <s v="Travel_Rarely"/>
    <n v="782"/>
    <x v="1"/>
    <n v="6"/>
    <n v="4"/>
    <s v="Other"/>
    <n v="1"/>
    <n v="661"/>
    <n v="2"/>
    <x v="1"/>
    <n v="50"/>
    <n v="2"/>
    <n v="4"/>
    <s v="Research Director"/>
    <n v="4"/>
    <s v="Divorced"/>
    <x v="17"/>
    <n v="16627"/>
    <n v="2671"/>
    <n v="4"/>
    <s v="Yes"/>
    <s v="Yes"/>
    <n v="14"/>
    <x v="0"/>
    <n v="3"/>
    <n v="80"/>
    <n v="1"/>
    <n v="21"/>
    <n v="3"/>
    <n v="2"/>
    <n v="1"/>
    <n v="0"/>
    <x v="0"/>
    <n v="0"/>
  </r>
  <r>
    <n v="38"/>
    <x v="1"/>
    <s v="Travel_Rarely"/>
    <n v="362"/>
    <x v="1"/>
    <n v="1"/>
    <n v="1"/>
    <s v="Life Sciences"/>
    <n v="1"/>
    <n v="662"/>
    <n v="3"/>
    <x v="0"/>
    <n v="43"/>
    <n v="3"/>
    <n v="1"/>
    <s v="Research Scientist"/>
    <n v="1"/>
    <s v="Single"/>
    <x v="1"/>
    <n v="2619"/>
    <n v="14561"/>
    <n v="3"/>
    <s v="Yes"/>
    <s v="No"/>
    <n v="17"/>
    <x v="0"/>
    <n v="4"/>
    <n v="80"/>
    <n v="0"/>
    <n v="8"/>
    <n v="3"/>
    <n v="2"/>
    <n v="0"/>
    <n v="0"/>
    <x v="0"/>
    <n v="0"/>
  </r>
  <r>
    <n v="43"/>
    <x v="1"/>
    <s v="Travel_Frequently"/>
    <n v="1001"/>
    <x v="1"/>
    <n v="9"/>
    <n v="5"/>
    <s v="Medical"/>
    <n v="1"/>
    <n v="663"/>
    <n v="4"/>
    <x v="1"/>
    <n v="72"/>
    <n v="3"/>
    <n v="2"/>
    <s v="Laboratory Technician"/>
    <n v="3"/>
    <s v="Divorced"/>
    <x v="0"/>
    <n v="5679"/>
    <n v="19627"/>
    <n v="3"/>
    <s v="Yes"/>
    <s v="Yes"/>
    <n v="13"/>
    <x v="0"/>
    <n v="2"/>
    <n v="80"/>
    <n v="1"/>
    <n v="10"/>
    <n v="3"/>
    <n v="3"/>
    <n v="8"/>
    <n v="7"/>
    <x v="5"/>
    <n v="7"/>
  </r>
  <r>
    <n v="48"/>
    <x v="1"/>
    <s v="Travel_Rarely"/>
    <n v="1236"/>
    <x v="1"/>
    <n v="1"/>
    <n v="4"/>
    <s v="Life Sciences"/>
    <n v="1"/>
    <n v="664"/>
    <n v="4"/>
    <x v="0"/>
    <n v="40"/>
    <n v="2"/>
    <n v="4"/>
    <s v="Manager"/>
    <n v="1"/>
    <s v="Married"/>
    <x v="5"/>
    <n v="15402"/>
    <n v="17997"/>
    <n v="7"/>
    <s v="Yes"/>
    <s v="No"/>
    <n v="11"/>
    <x v="0"/>
    <n v="1"/>
    <n v="80"/>
    <n v="1"/>
    <n v="21"/>
    <n v="3"/>
    <n v="1"/>
    <n v="3"/>
    <n v="2"/>
    <x v="0"/>
    <n v="2"/>
  </r>
  <r>
    <n v="44"/>
    <x v="1"/>
    <s v="Travel_Rarely"/>
    <n v="1112"/>
    <x v="2"/>
    <n v="1"/>
    <n v="4"/>
    <s v="Life Sciences"/>
    <n v="1"/>
    <n v="665"/>
    <n v="1"/>
    <x v="0"/>
    <n v="50"/>
    <n v="2"/>
    <n v="2"/>
    <s v="Human Resources"/>
    <n v="3"/>
    <s v="Single"/>
    <x v="0"/>
    <n v="5985"/>
    <n v="26894"/>
    <n v="4"/>
    <s v="Yes"/>
    <s v="No"/>
    <n v="11"/>
    <x v="0"/>
    <n v="2"/>
    <n v="80"/>
    <n v="0"/>
    <n v="10"/>
    <n v="1"/>
    <n v="4"/>
    <n v="2"/>
    <n v="2"/>
    <x v="0"/>
    <n v="2"/>
  </r>
  <r>
    <n v="34"/>
    <x v="1"/>
    <s v="Travel_Rarely"/>
    <n v="204"/>
    <x v="0"/>
    <n v="14"/>
    <n v="3"/>
    <s v="Technical Degree"/>
    <n v="1"/>
    <n v="666"/>
    <n v="3"/>
    <x v="0"/>
    <n v="31"/>
    <n v="3"/>
    <n v="1"/>
    <s v="Sales Representative"/>
    <n v="3"/>
    <s v="Divorced"/>
    <x v="1"/>
    <n v="2579"/>
    <n v="2912"/>
    <n v="1"/>
    <s v="Yes"/>
    <s v="Yes"/>
    <n v="18"/>
    <x v="0"/>
    <n v="4"/>
    <n v="80"/>
    <n v="2"/>
    <n v="8"/>
    <n v="3"/>
    <n v="3"/>
    <n v="8"/>
    <n v="2"/>
    <x v="0"/>
    <n v="6"/>
  </r>
  <r>
    <n v="27"/>
    <x v="0"/>
    <s v="Travel_Rarely"/>
    <n v="1420"/>
    <x v="0"/>
    <n v="2"/>
    <n v="1"/>
    <s v="Marketing"/>
    <n v="1"/>
    <n v="667"/>
    <n v="3"/>
    <x v="1"/>
    <n v="85"/>
    <n v="3"/>
    <n v="1"/>
    <s v="Sales Representative"/>
    <n v="1"/>
    <s v="Divorced"/>
    <x v="2"/>
    <n v="3041"/>
    <n v="16346"/>
    <n v="0"/>
    <s v="Yes"/>
    <s v="No"/>
    <n v="11"/>
    <x v="0"/>
    <n v="2"/>
    <n v="80"/>
    <n v="1"/>
    <n v="5"/>
    <n v="3"/>
    <n v="3"/>
    <n v="4"/>
    <n v="3"/>
    <x v="0"/>
    <n v="2"/>
  </r>
  <r>
    <n v="21"/>
    <x v="1"/>
    <s v="Travel_Rarely"/>
    <n v="1343"/>
    <x v="0"/>
    <n v="22"/>
    <n v="1"/>
    <s v="Technical Degree"/>
    <n v="1"/>
    <n v="669"/>
    <n v="3"/>
    <x v="1"/>
    <n v="49"/>
    <n v="3"/>
    <n v="1"/>
    <s v="Sales Representative"/>
    <n v="3"/>
    <s v="Single"/>
    <x v="2"/>
    <n v="3447"/>
    <n v="24444"/>
    <n v="1"/>
    <s v="Yes"/>
    <s v="No"/>
    <n v="11"/>
    <x v="0"/>
    <n v="3"/>
    <n v="80"/>
    <n v="0"/>
    <n v="3"/>
    <n v="2"/>
    <n v="3"/>
    <n v="3"/>
    <n v="2"/>
    <x v="1"/>
    <n v="2"/>
  </r>
  <r>
    <n v="44"/>
    <x v="1"/>
    <s v="Travel_Rarely"/>
    <n v="1315"/>
    <x v="1"/>
    <n v="3"/>
    <n v="4"/>
    <s v="Other"/>
    <n v="1"/>
    <n v="671"/>
    <n v="4"/>
    <x v="1"/>
    <n v="35"/>
    <n v="3"/>
    <n v="5"/>
    <s v="Manager"/>
    <n v="4"/>
    <s v="Married"/>
    <x v="8"/>
    <n v="19513"/>
    <n v="9358"/>
    <n v="4"/>
    <s v="Yes"/>
    <s v="Yes"/>
    <n v="12"/>
    <x v="0"/>
    <n v="1"/>
    <n v="80"/>
    <n v="1"/>
    <n v="26"/>
    <n v="2"/>
    <n v="4"/>
    <n v="2"/>
    <n v="2"/>
    <x v="0"/>
    <n v="1"/>
  </r>
  <r>
    <n v="22"/>
    <x v="1"/>
    <s v="Travel_Rarely"/>
    <n v="604"/>
    <x v="1"/>
    <n v="6"/>
    <n v="1"/>
    <s v="Medical"/>
    <n v="1"/>
    <n v="675"/>
    <n v="1"/>
    <x v="1"/>
    <n v="69"/>
    <n v="3"/>
    <n v="1"/>
    <s v="Research Scientist"/>
    <n v="3"/>
    <s v="Married"/>
    <x v="1"/>
    <n v="2773"/>
    <n v="12145"/>
    <n v="0"/>
    <s v="Yes"/>
    <s v="No"/>
    <n v="20"/>
    <x v="1"/>
    <n v="4"/>
    <n v="80"/>
    <n v="0"/>
    <n v="3"/>
    <n v="3"/>
    <n v="3"/>
    <n v="2"/>
    <n v="2"/>
    <x v="3"/>
    <n v="2"/>
  </r>
  <r>
    <n v="33"/>
    <x v="1"/>
    <s v="Travel_Rarely"/>
    <n v="1216"/>
    <x v="0"/>
    <n v="8"/>
    <n v="4"/>
    <s v="Marketing"/>
    <n v="1"/>
    <n v="677"/>
    <n v="3"/>
    <x v="1"/>
    <n v="39"/>
    <n v="3"/>
    <n v="2"/>
    <s v="Sales Executive"/>
    <n v="3"/>
    <s v="Divorced"/>
    <x v="14"/>
    <n v="7104"/>
    <n v="20431"/>
    <n v="0"/>
    <s v="Yes"/>
    <s v="No"/>
    <n v="12"/>
    <x v="0"/>
    <n v="4"/>
    <n v="80"/>
    <n v="0"/>
    <n v="6"/>
    <n v="3"/>
    <n v="3"/>
    <n v="5"/>
    <n v="0"/>
    <x v="1"/>
    <n v="2"/>
  </r>
  <r>
    <n v="32"/>
    <x v="1"/>
    <s v="Travel_Rarely"/>
    <n v="646"/>
    <x v="1"/>
    <n v="9"/>
    <n v="4"/>
    <s v="Life Sciences"/>
    <n v="1"/>
    <n v="679"/>
    <n v="1"/>
    <x v="0"/>
    <n v="92"/>
    <n v="3"/>
    <n v="2"/>
    <s v="Research Scientist"/>
    <n v="4"/>
    <s v="Married"/>
    <x v="9"/>
    <n v="6322"/>
    <n v="18089"/>
    <n v="1"/>
    <s v="Yes"/>
    <s v="Yes"/>
    <n v="12"/>
    <x v="0"/>
    <n v="4"/>
    <n v="80"/>
    <n v="1"/>
    <n v="6"/>
    <n v="2"/>
    <n v="2"/>
    <n v="6"/>
    <n v="4"/>
    <x v="0"/>
    <n v="5"/>
  </r>
  <r>
    <n v="30"/>
    <x v="1"/>
    <s v="Travel_Frequently"/>
    <n v="160"/>
    <x v="1"/>
    <n v="3"/>
    <n v="3"/>
    <s v="Medical"/>
    <n v="1"/>
    <n v="680"/>
    <n v="3"/>
    <x v="0"/>
    <n v="71"/>
    <n v="3"/>
    <n v="1"/>
    <s v="Research Scientist"/>
    <n v="3"/>
    <s v="Divorced"/>
    <x v="1"/>
    <n v="2083"/>
    <n v="22653"/>
    <n v="1"/>
    <s v="Yes"/>
    <s v="No"/>
    <n v="20"/>
    <x v="1"/>
    <n v="3"/>
    <n v="80"/>
    <n v="1"/>
    <n v="1"/>
    <n v="2"/>
    <n v="3"/>
    <n v="1"/>
    <n v="0"/>
    <x v="0"/>
    <n v="0"/>
  </r>
  <r>
    <n v="53"/>
    <x v="1"/>
    <s v="Travel_Rarely"/>
    <n v="238"/>
    <x v="0"/>
    <n v="1"/>
    <n v="1"/>
    <s v="Medical"/>
    <n v="1"/>
    <n v="682"/>
    <n v="4"/>
    <x v="0"/>
    <n v="34"/>
    <n v="3"/>
    <n v="2"/>
    <s v="Sales Executive"/>
    <n v="1"/>
    <s v="Single"/>
    <x v="12"/>
    <n v="8381"/>
    <n v="7507"/>
    <n v="7"/>
    <s v="Yes"/>
    <s v="No"/>
    <n v="20"/>
    <x v="1"/>
    <n v="4"/>
    <n v="80"/>
    <n v="0"/>
    <n v="18"/>
    <n v="2"/>
    <n v="4"/>
    <n v="14"/>
    <n v="7"/>
    <x v="6"/>
    <n v="10"/>
  </r>
  <r>
    <n v="34"/>
    <x v="1"/>
    <s v="Travel_Rarely"/>
    <n v="1397"/>
    <x v="1"/>
    <n v="1"/>
    <n v="5"/>
    <s v="Life Sciences"/>
    <n v="1"/>
    <n v="683"/>
    <n v="2"/>
    <x v="1"/>
    <n v="42"/>
    <n v="3"/>
    <n v="1"/>
    <s v="Research Scientist"/>
    <n v="4"/>
    <s v="Married"/>
    <x v="1"/>
    <n v="2691"/>
    <n v="7660"/>
    <n v="1"/>
    <s v="Yes"/>
    <s v="No"/>
    <n v="12"/>
    <x v="0"/>
    <n v="4"/>
    <n v="80"/>
    <n v="1"/>
    <n v="10"/>
    <n v="4"/>
    <n v="2"/>
    <n v="10"/>
    <n v="9"/>
    <x v="6"/>
    <n v="8"/>
  </r>
  <r>
    <n v="45"/>
    <x v="0"/>
    <s v="Travel_Frequently"/>
    <n v="306"/>
    <x v="0"/>
    <n v="26"/>
    <n v="4"/>
    <s v="Life Sciences"/>
    <n v="1"/>
    <n v="684"/>
    <n v="1"/>
    <x v="0"/>
    <n v="100"/>
    <n v="3"/>
    <n v="2"/>
    <s v="Sales Executive"/>
    <n v="1"/>
    <s v="Married"/>
    <x v="4"/>
    <n v="4286"/>
    <n v="5630"/>
    <n v="2"/>
    <s v="Yes"/>
    <s v="No"/>
    <n v="14"/>
    <x v="0"/>
    <n v="4"/>
    <n v="80"/>
    <n v="2"/>
    <n v="5"/>
    <n v="4"/>
    <n v="3"/>
    <n v="1"/>
    <n v="1"/>
    <x v="0"/>
    <n v="0"/>
  </r>
  <r>
    <n v="26"/>
    <x v="1"/>
    <s v="Travel_Rarely"/>
    <n v="991"/>
    <x v="1"/>
    <n v="6"/>
    <n v="3"/>
    <s v="Life Sciences"/>
    <n v="1"/>
    <n v="686"/>
    <n v="3"/>
    <x v="0"/>
    <n v="71"/>
    <n v="3"/>
    <n v="1"/>
    <s v="Laboratory Technician"/>
    <n v="4"/>
    <s v="Married"/>
    <x v="1"/>
    <n v="2659"/>
    <n v="17759"/>
    <n v="1"/>
    <s v="Yes"/>
    <s v="Yes"/>
    <n v="13"/>
    <x v="0"/>
    <n v="3"/>
    <n v="80"/>
    <n v="1"/>
    <n v="3"/>
    <n v="2"/>
    <n v="3"/>
    <n v="3"/>
    <n v="2"/>
    <x v="0"/>
    <n v="2"/>
  </r>
  <r>
    <n v="37"/>
    <x v="1"/>
    <s v="Travel_Rarely"/>
    <n v="482"/>
    <x v="1"/>
    <n v="3"/>
    <n v="3"/>
    <s v="Other"/>
    <n v="1"/>
    <n v="689"/>
    <n v="3"/>
    <x v="1"/>
    <n v="36"/>
    <n v="3"/>
    <n v="3"/>
    <s v="Manufacturing Director"/>
    <n v="3"/>
    <s v="Married"/>
    <x v="3"/>
    <n v="9434"/>
    <n v="9606"/>
    <n v="1"/>
    <s v="Yes"/>
    <s v="No"/>
    <n v="15"/>
    <x v="0"/>
    <n v="3"/>
    <n v="80"/>
    <n v="1"/>
    <n v="10"/>
    <n v="2"/>
    <n v="3"/>
    <n v="10"/>
    <n v="7"/>
    <x v="4"/>
    <n v="8"/>
  </r>
  <r>
    <n v="29"/>
    <x v="1"/>
    <s v="Travel_Rarely"/>
    <n v="1176"/>
    <x v="0"/>
    <n v="3"/>
    <n v="2"/>
    <s v="Medical"/>
    <n v="1"/>
    <n v="690"/>
    <n v="2"/>
    <x v="0"/>
    <n v="62"/>
    <n v="3"/>
    <n v="2"/>
    <s v="Sales Executive"/>
    <n v="3"/>
    <s v="Married"/>
    <x v="0"/>
    <n v="5561"/>
    <n v="3487"/>
    <n v="1"/>
    <s v="Yes"/>
    <s v="No"/>
    <n v="14"/>
    <x v="0"/>
    <n v="1"/>
    <n v="80"/>
    <n v="1"/>
    <n v="6"/>
    <n v="5"/>
    <n v="2"/>
    <n v="6"/>
    <n v="0"/>
    <x v="1"/>
    <n v="2"/>
  </r>
  <r>
    <n v="35"/>
    <x v="1"/>
    <s v="Travel_Rarely"/>
    <n v="1017"/>
    <x v="1"/>
    <n v="6"/>
    <n v="4"/>
    <s v="Life Sciences"/>
    <n v="1"/>
    <n v="691"/>
    <n v="2"/>
    <x v="1"/>
    <n v="82"/>
    <n v="1"/>
    <n v="2"/>
    <s v="Research Scientist"/>
    <n v="4"/>
    <s v="Single"/>
    <x v="9"/>
    <n v="6646"/>
    <n v="19368"/>
    <n v="1"/>
    <s v="Yes"/>
    <s v="No"/>
    <n v="13"/>
    <x v="0"/>
    <n v="2"/>
    <n v="80"/>
    <n v="0"/>
    <n v="17"/>
    <n v="3"/>
    <n v="3"/>
    <n v="17"/>
    <n v="11"/>
    <x v="14"/>
    <n v="8"/>
  </r>
  <r>
    <n v="33"/>
    <x v="1"/>
    <s v="Travel_Frequently"/>
    <n v="1296"/>
    <x v="1"/>
    <n v="6"/>
    <n v="3"/>
    <s v="Life Sciences"/>
    <n v="1"/>
    <n v="692"/>
    <n v="3"/>
    <x v="1"/>
    <n v="30"/>
    <n v="3"/>
    <n v="2"/>
    <s v="Healthcare Representative"/>
    <n v="4"/>
    <s v="Divorced"/>
    <x v="14"/>
    <n v="7725"/>
    <n v="5335"/>
    <n v="3"/>
    <s v="Yes"/>
    <s v="No"/>
    <n v="23"/>
    <x v="1"/>
    <n v="3"/>
    <n v="80"/>
    <n v="1"/>
    <n v="15"/>
    <n v="2"/>
    <n v="1"/>
    <n v="13"/>
    <n v="11"/>
    <x v="5"/>
    <n v="7"/>
  </r>
  <r>
    <n v="54"/>
    <x v="1"/>
    <s v="Travel_Rarely"/>
    <n v="397"/>
    <x v="2"/>
    <n v="19"/>
    <n v="4"/>
    <s v="Medical"/>
    <n v="1"/>
    <n v="698"/>
    <n v="3"/>
    <x v="1"/>
    <n v="88"/>
    <n v="3"/>
    <n v="3"/>
    <s v="Human Resources"/>
    <n v="2"/>
    <s v="Married"/>
    <x v="10"/>
    <n v="10725"/>
    <n v="6729"/>
    <n v="2"/>
    <s v="Yes"/>
    <s v="No"/>
    <n v="15"/>
    <x v="0"/>
    <n v="3"/>
    <n v="80"/>
    <n v="1"/>
    <n v="16"/>
    <n v="1"/>
    <n v="4"/>
    <n v="9"/>
    <n v="7"/>
    <x v="4"/>
    <n v="1"/>
  </r>
  <r>
    <n v="36"/>
    <x v="1"/>
    <s v="Travel_Rarely"/>
    <n v="913"/>
    <x v="1"/>
    <n v="9"/>
    <n v="2"/>
    <s v="Medical"/>
    <n v="1"/>
    <n v="699"/>
    <n v="2"/>
    <x v="1"/>
    <n v="48"/>
    <n v="2"/>
    <n v="2"/>
    <s v="Manufacturing Director"/>
    <n v="2"/>
    <s v="Divorced"/>
    <x v="12"/>
    <n v="8847"/>
    <n v="13934"/>
    <n v="2"/>
    <s v="Yes"/>
    <s v="Yes"/>
    <n v="11"/>
    <x v="0"/>
    <n v="3"/>
    <n v="80"/>
    <n v="1"/>
    <n v="13"/>
    <n v="2"/>
    <n v="3"/>
    <n v="3"/>
    <n v="2"/>
    <x v="0"/>
    <n v="2"/>
  </r>
  <r>
    <n v="27"/>
    <x v="1"/>
    <s v="Travel_Rarely"/>
    <n v="1115"/>
    <x v="1"/>
    <n v="3"/>
    <n v="4"/>
    <s v="Medical"/>
    <n v="1"/>
    <n v="700"/>
    <n v="1"/>
    <x v="1"/>
    <n v="54"/>
    <n v="2"/>
    <n v="1"/>
    <s v="Research Scientist"/>
    <n v="4"/>
    <s v="Single"/>
    <x v="1"/>
    <n v="2045"/>
    <n v="15174"/>
    <n v="0"/>
    <s v="Yes"/>
    <s v="No"/>
    <n v="13"/>
    <x v="0"/>
    <n v="4"/>
    <n v="80"/>
    <n v="0"/>
    <n v="5"/>
    <n v="0"/>
    <n v="3"/>
    <n v="4"/>
    <n v="2"/>
    <x v="1"/>
    <n v="1"/>
  </r>
  <r>
    <n v="20"/>
    <x v="0"/>
    <s v="Travel_Rarely"/>
    <n v="1362"/>
    <x v="1"/>
    <n v="10"/>
    <n v="1"/>
    <s v="Medical"/>
    <n v="1"/>
    <n v="701"/>
    <n v="4"/>
    <x v="1"/>
    <n v="32"/>
    <n v="3"/>
    <n v="1"/>
    <s v="Research Scientist"/>
    <n v="3"/>
    <s v="Single"/>
    <x v="7"/>
    <n v="1009"/>
    <n v="26999"/>
    <n v="1"/>
    <s v="Yes"/>
    <s v="Yes"/>
    <n v="11"/>
    <x v="0"/>
    <n v="4"/>
    <n v="80"/>
    <n v="0"/>
    <n v="1"/>
    <n v="5"/>
    <n v="3"/>
    <n v="1"/>
    <n v="0"/>
    <x v="1"/>
    <n v="1"/>
  </r>
  <r>
    <n v="33"/>
    <x v="0"/>
    <s v="Travel_Frequently"/>
    <n v="1076"/>
    <x v="1"/>
    <n v="3"/>
    <n v="3"/>
    <s v="Life Sciences"/>
    <n v="1"/>
    <n v="702"/>
    <n v="1"/>
    <x v="1"/>
    <n v="70"/>
    <n v="3"/>
    <n v="1"/>
    <s v="Research Scientist"/>
    <n v="1"/>
    <s v="Single"/>
    <x v="2"/>
    <n v="3348"/>
    <n v="3164"/>
    <n v="1"/>
    <s v="Yes"/>
    <s v="Yes"/>
    <n v="11"/>
    <x v="0"/>
    <n v="1"/>
    <n v="80"/>
    <n v="0"/>
    <n v="10"/>
    <n v="3"/>
    <n v="3"/>
    <n v="10"/>
    <n v="8"/>
    <x v="10"/>
    <n v="7"/>
  </r>
  <r>
    <n v="35"/>
    <x v="1"/>
    <s v="Non-Travel"/>
    <n v="727"/>
    <x v="1"/>
    <n v="3"/>
    <n v="3"/>
    <s v="Life Sciences"/>
    <n v="1"/>
    <n v="704"/>
    <n v="3"/>
    <x v="1"/>
    <n v="41"/>
    <n v="2"/>
    <n v="1"/>
    <s v="Laboratory Technician"/>
    <n v="3"/>
    <s v="Married"/>
    <x v="7"/>
    <n v="1281"/>
    <n v="16900"/>
    <n v="1"/>
    <s v="Yes"/>
    <s v="No"/>
    <n v="18"/>
    <x v="0"/>
    <n v="3"/>
    <n v="80"/>
    <n v="2"/>
    <n v="1"/>
    <n v="3"/>
    <n v="3"/>
    <n v="1"/>
    <n v="0"/>
    <x v="0"/>
    <n v="0"/>
  </r>
  <r>
    <n v="23"/>
    <x v="1"/>
    <s v="Travel_Rarely"/>
    <n v="885"/>
    <x v="1"/>
    <n v="4"/>
    <n v="3"/>
    <s v="Medical"/>
    <n v="1"/>
    <n v="705"/>
    <n v="1"/>
    <x v="1"/>
    <n v="58"/>
    <n v="4"/>
    <n v="1"/>
    <s v="Research Scientist"/>
    <n v="1"/>
    <s v="Married"/>
    <x v="1"/>
    <n v="2819"/>
    <n v="8544"/>
    <n v="2"/>
    <s v="Yes"/>
    <s v="No"/>
    <n v="16"/>
    <x v="0"/>
    <n v="1"/>
    <n v="80"/>
    <n v="1"/>
    <n v="5"/>
    <n v="3"/>
    <n v="4"/>
    <n v="3"/>
    <n v="2"/>
    <x v="0"/>
    <n v="2"/>
  </r>
  <r>
    <n v="25"/>
    <x v="1"/>
    <s v="Travel_Rarely"/>
    <n v="810"/>
    <x v="0"/>
    <n v="8"/>
    <n v="3"/>
    <s v="Life Sciences"/>
    <n v="1"/>
    <n v="707"/>
    <n v="4"/>
    <x v="1"/>
    <n v="57"/>
    <n v="4"/>
    <n v="2"/>
    <s v="Sales Executive"/>
    <n v="2"/>
    <s v="Married"/>
    <x v="4"/>
    <n v="4851"/>
    <n v="15678"/>
    <n v="0"/>
    <s v="Yes"/>
    <s v="No"/>
    <n v="22"/>
    <x v="1"/>
    <n v="3"/>
    <n v="80"/>
    <n v="1"/>
    <n v="4"/>
    <n v="4"/>
    <n v="3"/>
    <n v="3"/>
    <n v="2"/>
    <x v="1"/>
    <n v="2"/>
  </r>
  <r>
    <n v="38"/>
    <x v="1"/>
    <s v="Travel_Rarely"/>
    <n v="243"/>
    <x v="0"/>
    <n v="7"/>
    <n v="4"/>
    <s v="Marketing"/>
    <n v="1"/>
    <n v="709"/>
    <n v="4"/>
    <x v="0"/>
    <n v="46"/>
    <n v="2"/>
    <n v="2"/>
    <s v="Sales Executive"/>
    <n v="4"/>
    <s v="Single"/>
    <x v="4"/>
    <n v="4028"/>
    <n v="7791"/>
    <n v="0"/>
    <s v="Yes"/>
    <s v="No"/>
    <n v="20"/>
    <x v="1"/>
    <n v="1"/>
    <n v="80"/>
    <n v="0"/>
    <n v="8"/>
    <n v="2"/>
    <n v="3"/>
    <n v="7"/>
    <n v="7"/>
    <x v="0"/>
    <n v="5"/>
  </r>
  <r>
    <n v="29"/>
    <x v="1"/>
    <s v="Travel_Frequently"/>
    <n v="806"/>
    <x v="1"/>
    <n v="1"/>
    <n v="4"/>
    <s v="Life Sciences"/>
    <n v="1"/>
    <n v="710"/>
    <n v="2"/>
    <x v="1"/>
    <n v="76"/>
    <n v="1"/>
    <n v="1"/>
    <s v="Research Scientist"/>
    <n v="4"/>
    <s v="Divorced"/>
    <x v="1"/>
    <n v="2720"/>
    <n v="18959"/>
    <n v="1"/>
    <s v="Yes"/>
    <s v="No"/>
    <n v="18"/>
    <x v="0"/>
    <n v="4"/>
    <n v="80"/>
    <n v="1"/>
    <n v="10"/>
    <n v="5"/>
    <n v="3"/>
    <n v="10"/>
    <n v="7"/>
    <x v="3"/>
    <n v="8"/>
  </r>
  <r>
    <n v="48"/>
    <x v="1"/>
    <s v="Travel_Rarely"/>
    <n v="817"/>
    <x v="0"/>
    <n v="2"/>
    <n v="1"/>
    <s v="Marketing"/>
    <n v="1"/>
    <n v="712"/>
    <n v="2"/>
    <x v="1"/>
    <n v="56"/>
    <n v="4"/>
    <n v="2"/>
    <s v="Sales Executive"/>
    <n v="2"/>
    <s v="Married"/>
    <x v="12"/>
    <n v="8120"/>
    <n v="18597"/>
    <n v="3"/>
    <s v="Yes"/>
    <s v="No"/>
    <n v="12"/>
    <x v="0"/>
    <n v="4"/>
    <n v="80"/>
    <n v="0"/>
    <n v="12"/>
    <n v="3"/>
    <n v="3"/>
    <n v="2"/>
    <n v="2"/>
    <x v="3"/>
    <n v="2"/>
  </r>
  <r>
    <n v="27"/>
    <x v="1"/>
    <s v="Travel_Frequently"/>
    <n v="1410"/>
    <x v="0"/>
    <n v="3"/>
    <n v="1"/>
    <s v="Medical"/>
    <n v="1"/>
    <n v="714"/>
    <n v="4"/>
    <x v="0"/>
    <n v="71"/>
    <n v="4"/>
    <n v="2"/>
    <s v="Sales Executive"/>
    <n v="4"/>
    <s v="Divorced"/>
    <x v="4"/>
    <n v="4647"/>
    <n v="16673"/>
    <n v="1"/>
    <s v="Yes"/>
    <s v="Yes"/>
    <n v="20"/>
    <x v="1"/>
    <n v="2"/>
    <n v="80"/>
    <n v="2"/>
    <n v="6"/>
    <n v="3"/>
    <n v="3"/>
    <n v="6"/>
    <n v="5"/>
    <x v="0"/>
    <n v="4"/>
  </r>
  <r>
    <n v="37"/>
    <x v="1"/>
    <s v="Travel_Rarely"/>
    <n v="1225"/>
    <x v="1"/>
    <n v="10"/>
    <n v="2"/>
    <s v="Life Sciences"/>
    <n v="1"/>
    <n v="715"/>
    <n v="4"/>
    <x v="1"/>
    <n v="80"/>
    <n v="4"/>
    <n v="1"/>
    <s v="Research Scientist"/>
    <n v="4"/>
    <s v="Single"/>
    <x v="4"/>
    <n v="4680"/>
    <n v="15232"/>
    <n v="3"/>
    <s v="Yes"/>
    <s v="No"/>
    <n v="17"/>
    <x v="0"/>
    <n v="1"/>
    <n v="80"/>
    <n v="0"/>
    <n v="4"/>
    <n v="2"/>
    <n v="3"/>
    <n v="1"/>
    <n v="0"/>
    <x v="0"/>
    <n v="0"/>
  </r>
  <r>
    <n v="50"/>
    <x v="1"/>
    <s v="Travel_Rarely"/>
    <n v="1207"/>
    <x v="1"/>
    <n v="28"/>
    <n v="1"/>
    <s v="Medical"/>
    <n v="1"/>
    <n v="716"/>
    <n v="4"/>
    <x v="1"/>
    <n v="74"/>
    <n v="4"/>
    <n v="1"/>
    <s v="Laboratory Technician"/>
    <n v="3"/>
    <s v="Married"/>
    <x v="2"/>
    <n v="3221"/>
    <n v="3297"/>
    <n v="1"/>
    <s v="Yes"/>
    <s v="Yes"/>
    <n v="11"/>
    <x v="0"/>
    <n v="3"/>
    <n v="80"/>
    <n v="3"/>
    <n v="20"/>
    <n v="3"/>
    <n v="3"/>
    <n v="20"/>
    <n v="8"/>
    <x v="2"/>
    <n v="8"/>
  </r>
  <r>
    <n v="34"/>
    <x v="1"/>
    <s v="Travel_Rarely"/>
    <n v="1442"/>
    <x v="1"/>
    <n v="9"/>
    <n v="3"/>
    <s v="Medical"/>
    <n v="1"/>
    <n v="717"/>
    <n v="4"/>
    <x v="0"/>
    <n v="46"/>
    <n v="2"/>
    <n v="3"/>
    <s v="Healthcare Representative"/>
    <n v="2"/>
    <s v="Single"/>
    <x v="12"/>
    <n v="8621"/>
    <n v="17654"/>
    <n v="1"/>
    <s v="Yes"/>
    <s v="No"/>
    <n v="14"/>
    <x v="0"/>
    <n v="2"/>
    <n v="80"/>
    <n v="0"/>
    <n v="9"/>
    <n v="3"/>
    <n v="4"/>
    <n v="8"/>
    <n v="7"/>
    <x v="4"/>
    <n v="7"/>
  </r>
  <r>
    <n v="24"/>
    <x v="0"/>
    <s v="Travel_Rarely"/>
    <n v="693"/>
    <x v="0"/>
    <n v="3"/>
    <n v="2"/>
    <s v="Life Sciences"/>
    <n v="1"/>
    <n v="720"/>
    <n v="1"/>
    <x v="0"/>
    <n v="65"/>
    <n v="3"/>
    <n v="2"/>
    <s v="Sales Executive"/>
    <n v="3"/>
    <s v="Single"/>
    <x v="4"/>
    <n v="4577"/>
    <n v="24785"/>
    <n v="9"/>
    <s v="Yes"/>
    <s v="No"/>
    <n v="14"/>
    <x v="0"/>
    <n v="1"/>
    <n v="80"/>
    <n v="0"/>
    <n v="4"/>
    <n v="3"/>
    <n v="3"/>
    <n v="2"/>
    <n v="2"/>
    <x v="3"/>
    <n v="0"/>
  </r>
  <r>
    <n v="39"/>
    <x v="1"/>
    <s v="Travel_Rarely"/>
    <n v="408"/>
    <x v="1"/>
    <n v="2"/>
    <n v="4"/>
    <s v="Technical Degree"/>
    <n v="1"/>
    <n v="721"/>
    <n v="4"/>
    <x v="0"/>
    <n v="80"/>
    <n v="2"/>
    <n v="2"/>
    <s v="Healthcare Representative"/>
    <n v="3"/>
    <s v="Single"/>
    <x v="4"/>
    <n v="4553"/>
    <n v="20978"/>
    <n v="1"/>
    <s v="Yes"/>
    <s v="No"/>
    <n v="11"/>
    <x v="0"/>
    <n v="1"/>
    <n v="80"/>
    <n v="0"/>
    <n v="20"/>
    <n v="4"/>
    <n v="3"/>
    <n v="20"/>
    <n v="7"/>
    <x v="14"/>
    <n v="10"/>
  </r>
  <r>
    <n v="32"/>
    <x v="1"/>
    <s v="Travel_Rarely"/>
    <n v="929"/>
    <x v="0"/>
    <n v="10"/>
    <n v="3"/>
    <s v="Marketing"/>
    <n v="1"/>
    <n v="722"/>
    <n v="4"/>
    <x v="1"/>
    <n v="55"/>
    <n v="3"/>
    <n v="2"/>
    <s v="Sales Executive"/>
    <n v="4"/>
    <s v="Single"/>
    <x v="0"/>
    <n v="5396"/>
    <n v="21703"/>
    <n v="1"/>
    <s v="Yes"/>
    <s v="No"/>
    <n v="12"/>
    <x v="0"/>
    <n v="4"/>
    <n v="80"/>
    <n v="0"/>
    <n v="10"/>
    <n v="2"/>
    <n v="2"/>
    <n v="10"/>
    <n v="7"/>
    <x v="0"/>
    <n v="8"/>
  </r>
  <r>
    <n v="50"/>
    <x v="0"/>
    <s v="Travel_Frequently"/>
    <n v="562"/>
    <x v="0"/>
    <n v="8"/>
    <n v="2"/>
    <s v="Technical Degree"/>
    <n v="1"/>
    <n v="723"/>
    <n v="2"/>
    <x v="1"/>
    <n v="50"/>
    <n v="3"/>
    <n v="2"/>
    <s v="Sales Executive"/>
    <n v="3"/>
    <s v="Married"/>
    <x v="9"/>
    <n v="6796"/>
    <n v="23452"/>
    <n v="3"/>
    <s v="Yes"/>
    <s v="Yes"/>
    <n v="14"/>
    <x v="0"/>
    <n v="1"/>
    <n v="80"/>
    <n v="1"/>
    <n v="18"/>
    <n v="4"/>
    <n v="3"/>
    <n v="4"/>
    <n v="3"/>
    <x v="1"/>
    <n v="3"/>
  </r>
  <r>
    <n v="38"/>
    <x v="1"/>
    <s v="Travel_Rarely"/>
    <n v="827"/>
    <x v="1"/>
    <n v="1"/>
    <n v="4"/>
    <s v="Life Sciences"/>
    <n v="1"/>
    <n v="724"/>
    <n v="2"/>
    <x v="0"/>
    <n v="33"/>
    <n v="4"/>
    <n v="2"/>
    <s v="Healthcare Representative"/>
    <n v="4"/>
    <s v="Single"/>
    <x v="14"/>
    <n v="7625"/>
    <n v="19383"/>
    <n v="0"/>
    <s v="Yes"/>
    <s v="No"/>
    <n v="13"/>
    <x v="0"/>
    <n v="3"/>
    <n v="80"/>
    <n v="0"/>
    <n v="10"/>
    <n v="4"/>
    <n v="2"/>
    <n v="9"/>
    <n v="7"/>
    <x v="1"/>
    <n v="8"/>
  </r>
  <r>
    <n v="27"/>
    <x v="1"/>
    <s v="Travel_Rarely"/>
    <n v="608"/>
    <x v="1"/>
    <n v="1"/>
    <n v="2"/>
    <s v="Life Sciences"/>
    <n v="1"/>
    <n v="725"/>
    <n v="3"/>
    <x v="0"/>
    <n v="68"/>
    <n v="3"/>
    <n v="3"/>
    <s v="Manufacturing Director"/>
    <n v="1"/>
    <s v="Married"/>
    <x v="14"/>
    <n v="7412"/>
    <n v="6009"/>
    <n v="1"/>
    <s v="Yes"/>
    <s v="No"/>
    <n v="11"/>
    <x v="0"/>
    <n v="4"/>
    <n v="80"/>
    <n v="0"/>
    <n v="9"/>
    <n v="3"/>
    <n v="3"/>
    <n v="9"/>
    <n v="7"/>
    <x v="0"/>
    <n v="7"/>
  </r>
  <r>
    <n v="32"/>
    <x v="1"/>
    <s v="Travel_Rarely"/>
    <n v="1018"/>
    <x v="1"/>
    <n v="3"/>
    <n v="2"/>
    <s v="Life Sciences"/>
    <n v="1"/>
    <n v="727"/>
    <n v="3"/>
    <x v="0"/>
    <n v="39"/>
    <n v="3"/>
    <n v="3"/>
    <s v="Research Director"/>
    <n v="4"/>
    <s v="Single"/>
    <x v="6"/>
    <n v="11159"/>
    <n v="19373"/>
    <n v="3"/>
    <s v="Yes"/>
    <s v="No"/>
    <n v="15"/>
    <x v="0"/>
    <n v="4"/>
    <n v="80"/>
    <n v="0"/>
    <n v="10"/>
    <n v="6"/>
    <n v="3"/>
    <n v="7"/>
    <n v="7"/>
    <x v="4"/>
    <n v="7"/>
  </r>
  <r>
    <n v="47"/>
    <x v="1"/>
    <s v="Travel_Rarely"/>
    <n v="703"/>
    <x v="0"/>
    <n v="14"/>
    <n v="4"/>
    <s v="Marketing"/>
    <n v="1"/>
    <n v="728"/>
    <n v="4"/>
    <x v="1"/>
    <n v="42"/>
    <n v="3"/>
    <n v="2"/>
    <s v="Sales Executive"/>
    <n v="1"/>
    <s v="Single"/>
    <x v="4"/>
    <n v="4960"/>
    <n v="11825"/>
    <n v="2"/>
    <s v="Yes"/>
    <s v="No"/>
    <n v="12"/>
    <x v="0"/>
    <n v="4"/>
    <n v="80"/>
    <n v="0"/>
    <n v="20"/>
    <n v="2"/>
    <n v="3"/>
    <n v="7"/>
    <n v="7"/>
    <x v="1"/>
    <n v="7"/>
  </r>
  <r>
    <n v="40"/>
    <x v="1"/>
    <s v="Travel_Frequently"/>
    <n v="580"/>
    <x v="0"/>
    <n v="5"/>
    <n v="4"/>
    <s v="Life Sciences"/>
    <n v="1"/>
    <n v="729"/>
    <n v="4"/>
    <x v="1"/>
    <n v="48"/>
    <n v="2"/>
    <n v="3"/>
    <s v="Sales Executive"/>
    <n v="1"/>
    <s v="Married"/>
    <x v="10"/>
    <n v="10475"/>
    <n v="23772"/>
    <n v="5"/>
    <s v="Yes"/>
    <s v="Yes"/>
    <n v="21"/>
    <x v="1"/>
    <n v="3"/>
    <n v="80"/>
    <n v="1"/>
    <n v="20"/>
    <n v="2"/>
    <n v="3"/>
    <n v="18"/>
    <n v="13"/>
    <x v="1"/>
    <n v="12"/>
  </r>
  <r>
    <n v="53"/>
    <x v="1"/>
    <s v="Travel_Rarely"/>
    <n v="970"/>
    <x v="1"/>
    <n v="7"/>
    <n v="3"/>
    <s v="Life Sciences"/>
    <n v="1"/>
    <n v="730"/>
    <n v="3"/>
    <x v="1"/>
    <n v="59"/>
    <n v="4"/>
    <n v="4"/>
    <s v="Research Director"/>
    <n v="3"/>
    <s v="Married"/>
    <x v="15"/>
    <n v="14814"/>
    <n v="13514"/>
    <n v="3"/>
    <s v="Yes"/>
    <s v="No"/>
    <n v="19"/>
    <x v="0"/>
    <n v="3"/>
    <n v="80"/>
    <n v="0"/>
    <n v="32"/>
    <n v="3"/>
    <n v="3"/>
    <n v="5"/>
    <n v="1"/>
    <x v="1"/>
    <n v="3"/>
  </r>
  <r>
    <n v="41"/>
    <x v="1"/>
    <s v="Travel_Rarely"/>
    <n v="427"/>
    <x v="2"/>
    <n v="10"/>
    <n v="4"/>
    <s v="Human Resources"/>
    <n v="1"/>
    <n v="731"/>
    <n v="2"/>
    <x v="1"/>
    <n v="73"/>
    <n v="2"/>
    <n v="5"/>
    <s v="Manager"/>
    <n v="4"/>
    <s v="Divorced"/>
    <x v="8"/>
    <n v="19141"/>
    <n v="8861"/>
    <n v="3"/>
    <s v="Yes"/>
    <s v="No"/>
    <n v="15"/>
    <x v="0"/>
    <n v="2"/>
    <n v="80"/>
    <n v="3"/>
    <n v="23"/>
    <n v="2"/>
    <n v="2"/>
    <n v="21"/>
    <n v="6"/>
    <x v="12"/>
    <n v="6"/>
  </r>
  <r>
    <n v="60"/>
    <x v="1"/>
    <s v="Travel_Rarely"/>
    <n v="1179"/>
    <x v="0"/>
    <n v="16"/>
    <n v="4"/>
    <s v="Marketing"/>
    <n v="1"/>
    <n v="732"/>
    <n v="1"/>
    <x v="1"/>
    <n v="84"/>
    <n v="3"/>
    <n v="2"/>
    <s v="Sales Executive"/>
    <n v="1"/>
    <s v="Single"/>
    <x v="0"/>
    <n v="5405"/>
    <n v="11924"/>
    <n v="8"/>
    <s v="Yes"/>
    <s v="No"/>
    <n v="14"/>
    <x v="0"/>
    <n v="4"/>
    <n v="80"/>
    <n v="0"/>
    <n v="10"/>
    <n v="1"/>
    <n v="3"/>
    <n v="2"/>
    <n v="2"/>
    <x v="3"/>
    <n v="2"/>
  </r>
  <r>
    <n v="27"/>
    <x v="1"/>
    <s v="Travel_Frequently"/>
    <n v="294"/>
    <x v="1"/>
    <n v="10"/>
    <n v="2"/>
    <s v="Life Sciences"/>
    <n v="1"/>
    <n v="733"/>
    <n v="4"/>
    <x v="1"/>
    <n v="32"/>
    <n v="3"/>
    <n v="3"/>
    <s v="Manufacturing Director"/>
    <n v="1"/>
    <s v="Divorced"/>
    <x v="12"/>
    <n v="8793"/>
    <n v="4809"/>
    <n v="1"/>
    <s v="Yes"/>
    <s v="No"/>
    <n v="21"/>
    <x v="1"/>
    <n v="3"/>
    <n v="80"/>
    <n v="2"/>
    <n v="9"/>
    <n v="4"/>
    <n v="2"/>
    <n v="9"/>
    <n v="7"/>
    <x v="1"/>
    <n v="7"/>
  </r>
  <r>
    <n v="41"/>
    <x v="1"/>
    <s v="Travel_Rarely"/>
    <n v="314"/>
    <x v="2"/>
    <n v="1"/>
    <n v="3"/>
    <s v="Human Resources"/>
    <n v="1"/>
    <n v="734"/>
    <n v="4"/>
    <x v="1"/>
    <n v="59"/>
    <n v="2"/>
    <n v="5"/>
    <s v="Manager"/>
    <n v="3"/>
    <s v="Married"/>
    <x v="8"/>
    <n v="19189"/>
    <n v="19562"/>
    <n v="1"/>
    <s v="Yes"/>
    <s v="No"/>
    <n v="12"/>
    <x v="0"/>
    <n v="2"/>
    <n v="80"/>
    <n v="1"/>
    <n v="22"/>
    <n v="3"/>
    <n v="3"/>
    <n v="22"/>
    <n v="7"/>
    <x v="3"/>
    <n v="10"/>
  </r>
  <r>
    <n v="50"/>
    <x v="1"/>
    <s v="Travel_Rarely"/>
    <n v="316"/>
    <x v="0"/>
    <n v="8"/>
    <n v="4"/>
    <s v="Marketing"/>
    <n v="1"/>
    <n v="738"/>
    <n v="4"/>
    <x v="1"/>
    <n v="54"/>
    <n v="3"/>
    <n v="1"/>
    <s v="Sales Representative"/>
    <n v="2"/>
    <s v="Married"/>
    <x v="2"/>
    <n v="3875"/>
    <n v="9983"/>
    <n v="7"/>
    <s v="Yes"/>
    <s v="No"/>
    <n v="15"/>
    <x v="0"/>
    <n v="4"/>
    <n v="80"/>
    <n v="1"/>
    <n v="4"/>
    <n v="2"/>
    <n v="3"/>
    <n v="2"/>
    <n v="2"/>
    <x v="3"/>
    <n v="2"/>
  </r>
  <r>
    <n v="28"/>
    <x v="0"/>
    <s v="Travel_Rarely"/>
    <n v="654"/>
    <x v="1"/>
    <n v="1"/>
    <n v="2"/>
    <s v="Life Sciences"/>
    <n v="1"/>
    <n v="741"/>
    <n v="1"/>
    <x v="0"/>
    <n v="67"/>
    <n v="1"/>
    <n v="1"/>
    <s v="Research Scientist"/>
    <n v="2"/>
    <s v="Single"/>
    <x v="1"/>
    <n v="2216"/>
    <n v="3872"/>
    <n v="7"/>
    <s v="Yes"/>
    <s v="Yes"/>
    <n v="13"/>
    <x v="0"/>
    <n v="4"/>
    <n v="80"/>
    <n v="0"/>
    <n v="10"/>
    <n v="4"/>
    <n v="3"/>
    <n v="7"/>
    <n v="7"/>
    <x v="2"/>
    <n v="7"/>
  </r>
  <r>
    <n v="36"/>
    <x v="1"/>
    <s v="Non-Travel"/>
    <n v="427"/>
    <x v="1"/>
    <n v="8"/>
    <n v="3"/>
    <s v="Life Sciences"/>
    <n v="1"/>
    <n v="742"/>
    <n v="1"/>
    <x v="0"/>
    <n v="63"/>
    <n v="4"/>
    <n v="3"/>
    <s v="Research Director"/>
    <n v="1"/>
    <s v="Married"/>
    <x v="6"/>
    <n v="11713"/>
    <n v="20335"/>
    <n v="9"/>
    <s v="Yes"/>
    <s v="No"/>
    <n v="14"/>
    <x v="0"/>
    <n v="1"/>
    <n v="80"/>
    <n v="1"/>
    <n v="10"/>
    <n v="2"/>
    <n v="3"/>
    <n v="8"/>
    <n v="7"/>
    <x v="0"/>
    <n v="5"/>
  </r>
  <r>
    <n v="38"/>
    <x v="1"/>
    <s v="Travel_Rarely"/>
    <n v="168"/>
    <x v="1"/>
    <n v="1"/>
    <n v="3"/>
    <s v="Life Sciences"/>
    <n v="1"/>
    <n v="743"/>
    <n v="3"/>
    <x v="0"/>
    <n v="81"/>
    <n v="3"/>
    <n v="3"/>
    <s v="Manufacturing Director"/>
    <n v="3"/>
    <s v="Single"/>
    <x v="14"/>
    <n v="7861"/>
    <n v="15397"/>
    <n v="4"/>
    <s v="Yes"/>
    <s v="Yes"/>
    <n v="14"/>
    <x v="0"/>
    <n v="4"/>
    <n v="80"/>
    <n v="0"/>
    <n v="10"/>
    <n v="4"/>
    <n v="4"/>
    <n v="1"/>
    <n v="0"/>
    <x v="0"/>
    <n v="0"/>
  </r>
  <r>
    <n v="44"/>
    <x v="1"/>
    <s v="Non-Travel"/>
    <n v="381"/>
    <x v="1"/>
    <n v="24"/>
    <n v="3"/>
    <s v="Medical"/>
    <n v="1"/>
    <n v="744"/>
    <n v="1"/>
    <x v="1"/>
    <n v="49"/>
    <n v="1"/>
    <n v="1"/>
    <s v="Laboratory Technician"/>
    <n v="3"/>
    <s v="Single"/>
    <x v="2"/>
    <n v="3708"/>
    <n v="2104"/>
    <n v="2"/>
    <s v="Yes"/>
    <s v="No"/>
    <n v="14"/>
    <x v="0"/>
    <n v="3"/>
    <n v="80"/>
    <n v="0"/>
    <n v="9"/>
    <n v="5"/>
    <n v="3"/>
    <n v="5"/>
    <n v="2"/>
    <x v="1"/>
    <n v="4"/>
  </r>
  <r>
    <n v="47"/>
    <x v="1"/>
    <s v="Travel_Frequently"/>
    <n v="217"/>
    <x v="0"/>
    <n v="3"/>
    <n v="3"/>
    <s v="Medical"/>
    <n v="1"/>
    <n v="746"/>
    <n v="4"/>
    <x v="0"/>
    <n v="49"/>
    <n v="3"/>
    <n v="4"/>
    <s v="Sales Executive"/>
    <n v="3"/>
    <s v="Divorced"/>
    <x v="13"/>
    <n v="13770"/>
    <n v="10225"/>
    <n v="9"/>
    <s v="Yes"/>
    <s v="Yes"/>
    <n v="12"/>
    <x v="0"/>
    <n v="4"/>
    <n v="80"/>
    <n v="2"/>
    <n v="28"/>
    <n v="2"/>
    <n v="2"/>
    <n v="22"/>
    <n v="2"/>
    <x v="14"/>
    <n v="13"/>
  </r>
  <r>
    <n v="30"/>
    <x v="1"/>
    <s v="Travel_Rarely"/>
    <n v="501"/>
    <x v="0"/>
    <n v="27"/>
    <n v="5"/>
    <s v="Marketing"/>
    <n v="1"/>
    <n v="747"/>
    <n v="3"/>
    <x v="1"/>
    <n v="99"/>
    <n v="3"/>
    <n v="2"/>
    <s v="Sales Executive"/>
    <n v="4"/>
    <s v="Divorced"/>
    <x v="0"/>
    <n v="5304"/>
    <n v="25275"/>
    <n v="7"/>
    <s v="Yes"/>
    <s v="No"/>
    <n v="23"/>
    <x v="1"/>
    <n v="4"/>
    <n v="80"/>
    <n v="1"/>
    <n v="10"/>
    <n v="2"/>
    <n v="2"/>
    <n v="8"/>
    <n v="7"/>
    <x v="4"/>
    <n v="7"/>
  </r>
  <r>
    <n v="29"/>
    <x v="1"/>
    <s v="Travel_Rarely"/>
    <n v="1396"/>
    <x v="0"/>
    <n v="10"/>
    <n v="3"/>
    <s v="Life Sciences"/>
    <n v="1"/>
    <n v="749"/>
    <n v="3"/>
    <x v="1"/>
    <n v="99"/>
    <n v="3"/>
    <n v="1"/>
    <s v="Sales Representative"/>
    <n v="3"/>
    <s v="Single"/>
    <x v="1"/>
    <n v="2642"/>
    <n v="2755"/>
    <n v="1"/>
    <s v="Yes"/>
    <s v="No"/>
    <n v="11"/>
    <x v="0"/>
    <n v="3"/>
    <n v="80"/>
    <n v="0"/>
    <n v="1"/>
    <n v="6"/>
    <n v="3"/>
    <n v="1"/>
    <n v="0"/>
    <x v="0"/>
    <n v="0"/>
  </r>
  <r>
    <n v="42"/>
    <x v="0"/>
    <s v="Travel_Frequently"/>
    <n v="933"/>
    <x v="1"/>
    <n v="19"/>
    <n v="3"/>
    <s v="Medical"/>
    <n v="1"/>
    <n v="752"/>
    <n v="3"/>
    <x v="1"/>
    <n v="57"/>
    <n v="4"/>
    <n v="1"/>
    <s v="Research Scientist"/>
    <n v="3"/>
    <s v="Divorced"/>
    <x v="1"/>
    <n v="2759"/>
    <n v="20366"/>
    <n v="6"/>
    <s v="Yes"/>
    <s v="Yes"/>
    <n v="12"/>
    <x v="0"/>
    <n v="4"/>
    <n v="80"/>
    <n v="0"/>
    <n v="7"/>
    <n v="2"/>
    <n v="3"/>
    <n v="2"/>
    <n v="2"/>
    <x v="3"/>
    <n v="2"/>
  </r>
  <r>
    <n v="43"/>
    <x v="1"/>
    <s v="Travel_Frequently"/>
    <n v="775"/>
    <x v="0"/>
    <n v="15"/>
    <n v="3"/>
    <s v="Life Sciences"/>
    <n v="1"/>
    <n v="754"/>
    <n v="4"/>
    <x v="1"/>
    <n v="47"/>
    <n v="2"/>
    <n v="2"/>
    <s v="Sales Executive"/>
    <n v="4"/>
    <s v="Married"/>
    <x v="9"/>
    <n v="6804"/>
    <n v="23683"/>
    <n v="3"/>
    <s v="Yes"/>
    <s v="No"/>
    <n v="18"/>
    <x v="0"/>
    <n v="3"/>
    <n v="80"/>
    <n v="1"/>
    <n v="7"/>
    <n v="5"/>
    <n v="3"/>
    <n v="2"/>
    <n v="2"/>
    <x v="3"/>
    <n v="2"/>
  </r>
  <r>
    <n v="34"/>
    <x v="1"/>
    <s v="Travel_Rarely"/>
    <n v="970"/>
    <x v="1"/>
    <n v="8"/>
    <n v="2"/>
    <s v="Medical"/>
    <n v="1"/>
    <n v="757"/>
    <n v="2"/>
    <x v="0"/>
    <n v="96"/>
    <n v="3"/>
    <n v="2"/>
    <s v="Healthcare Representative"/>
    <n v="3"/>
    <s v="Single"/>
    <x v="9"/>
    <n v="6142"/>
    <n v="7360"/>
    <n v="3"/>
    <s v="Yes"/>
    <s v="No"/>
    <n v="11"/>
    <x v="0"/>
    <n v="4"/>
    <n v="80"/>
    <n v="0"/>
    <n v="10"/>
    <n v="2"/>
    <n v="3"/>
    <n v="5"/>
    <n v="1"/>
    <x v="5"/>
    <n v="3"/>
  </r>
  <r>
    <n v="23"/>
    <x v="1"/>
    <s v="Travel_Rarely"/>
    <n v="650"/>
    <x v="1"/>
    <n v="9"/>
    <n v="1"/>
    <s v="Medical"/>
    <n v="1"/>
    <n v="758"/>
    <n v="2"/>
    <x v="1"/>
    <n v="37"/>
    <n v="3"/>
    <n v="1"/>
    <s v="Laboratory Technician"/>
    <n v="1"/>
    <s v="Married"/>
    <x v="1"/>
    <n v="2500"/>
    <n v="4344"/>
    <n v="1"/>
    <s v="Yes"/>
    <s v="No"/>
    <n v="14"/>
    <x v="0"/>
    <n v="4"/>
    <n v="80"/>
    <n v="1"/>
    <n v="5"/>
    <n v="2"/>
    <n v="4"/>
    <n v="4"/>
    <n v="3"/>
    <x v="0"/>
    <n v="2"/>
  </r>
  <r>
    <n v="39"/>
    <x v="1"/>
    <s v="Travel_Rarely"/>
    <n v="141"/>
    <x v="2"/>
    <n v="3"/>
    <n v="3"/>
    <s v="Human Resources"/>
    <n v="1"/>
    <n v="760"/>
    <n v="3"/>
    <x v="0"/>
    <n v="44"/>
    <n v="4"/>
    <n v="2"/>
    <s v="Human Resources"/>
    <n v="2"/>
    <s v="Married"/>
    <x v="9"/>
    <n v="6389"/>
    <n v="18767"/>
    <n v="9"/>
    <s v="Yes"/>
    <s v="No"/>
    <n v="15"/>
    <x v="0"/>
    <n v="3"/>
    <n v="80"/>
    <n v="1"/>
    <n v="12"/>
    <n v="3"/>
    <n v="1"/>
    <n v="8"/>
    <n v="3"/>
    <x v="2"/>
    <n v="6"/>
  </r>
  <r>
    <n v="56"/>
    <x v="1"/>
    <s v="Travel_Rarely"/>
    <n v="832"/>
    <x v="1"/>
    <n v="9"/>
    <n v="3"/>
    <s v="Medical"/>
    <n v="1"/>
    <n v="762"/>
    <n v="3"/>
    <x v="1"/>
    <n v="81"/>
    <n v="3"/>
    <n v="4"/>
    <s v="Healthcare Representative"/>
    <n v="4"/>
    <s v="Married"/>
    <x v="6"/>
    <n v="11103"/>
    <n v="20420"/>
    <n v="7"/>
    <s v="Yes"/>
    <s v="No"/>
    <n v="11"/>
    <x v="0"/>
    <n v="3"/>
    <n v="80"/>
    <n v="0"/>
    <n v="30"/>
    <n v="1"/>
    <n v="2"/>
    <n v="10"/>
    <n v="7"/>
    <x v="1"/>
    <n v="1"/>
  </r>
  <r>
    <n v="40"/>
    <x v="1"/>
    <s v="Travel_Rarely"/>
    <n v="804"/>
    <x v="1"/>
    <n v="2"/>
    <n v="1"/>
    <s v="Medical"/>
    <n v="1"/>
    <n v="763"/>
    <n v="4"/>
    <x v="0"/>
    <n v="86"/>
    <n v="2"/>
    <n v="1"/>
    <s v="Research Scientist"/>
    <n v="4"/>
    <s v="Single"/>
    <x v="1"/>
    <n v="2342"/>
    <n v="22929"/>
    <n v="0"/>
    <s v="Yes"/>
    <s v="Yes"/>
    <n v="20"/>
    <x v="1"/>
    <n v="4"/>
    <n v="80"/>
    <n v="0"/>
    <n v="5"/>
    <n v="2"/>
    <n v="2"/>
    <n v="4"/>
    <n v="2"/>
    <x v="3"/>
    <n v="3"/>
  </r>
  <r>
    <n v="27"/>
    <x v="1"/>
    <s v="Travel_Rarely"/>
    <n v="975"/>
    <x v="1"/>
    <n v="7"/>
    <n v="3"/>
    <s v="Medical"/>
    <n v="1"/>
    <n v="764"/>
    <n v="4"/>
    <x v="0"/>
    <n v="55"/>
    <n v="2"/>
    <n v="2"/>
    <s v="Healthcare Representative"/>
    <n v="1"/>
    <s v="Single"/>
    <x v="9"/>
    <n v="6811"/>
    <n v="23398"/>
    <n v="8"/>
    <s v="Yes"/>
    <s v="No"/>
    <n v="19"/>
    <x v="0"/>
    <n v="1"/>
    <n v="80"/>
    <n v="0"/>
    <n v="9"/>
    <n v="2"/>
    <n v="1"/>
    <n v="7"/>
    <n v="6"/>
    <x v="0"/>
    <n v="7"/>
  </r>
  <r>
    <n v="29"/>
    <x v="1"/>
    <s v="Travel_Rarely"/>
    <n v="1090"/>
    <x v="0"/>
    <n v="10"/>
    <n v="3"/>
    <s v="Marketing"/>
    <n v="1"/>
    <n v="766"/>
    <n v="4"/>
    <x v="1"/>
    <n v="83"/>
    <n v="3"/>
    <n v="1"/>
    <s v="Sales Representative"/>
    <n v="2"/>
    <s v="Divorced"/>
    <x v="1"/>
    <n v="2297"/>
    <n v="17967"/>
    <n v="1"/>
    <s v="Yes"/>
    <s v="No"/>
    <n v="14"/>
    <x v="0"/>
    <n v="4"/>
    <n v="80"/>
    <n v="2"/>
    <n v="2"/>
    <n v="2"/>
    <n v="3"/>
    <n v="2"/>
    <n v="2"/>
    <x v="3"/>
    <n v="2"/>
  </r>
  <r>
    <n v="53"/>
    <x v="1"/>
    <s v="Travel_Rarely"/>
    <n v="346"/>
    <x v="1"/>
    <n v="6"/>
    <n v="3"/>
    <s v="Life Sciences"/>
    <n v="1"/>
    <n v="769"/>
    <n v="4"/>
    <x v="1"/>
    <n v="86"/>
    <n v="3"/>
    <n v="2"/>
    <s v="Laboratory Technician"/>
    <n v="4"/>
    <s v="Single"/>
    <x v="1"/>
    <n v="2450"/>
    <n v="10919"/>
    <n v="2"/>
    <s v="Yes"/>
    <s v="No"/>
    <n v="17"/>
    <x v="0"/>
    <n v="4"/>
    <n v="80"/>
    <n v="0"/>
    <n v="19"/>
    <n v="4"/>
    <n v="3"/>
    <n v="2"/>
    <n v="2"/>
    <x v="3"/>
    <n v="2"/>
  </r>
  <r>
    <n v="35"/>
    <x v="1"/>
    <s v="Non-Travel"/>
    <n v="1225"/>
    <x v="1"/>
    <n v="2"/>
    <n v="4"/>
    <s v="Life Sciences"/>
    <n v="1"/>
    <n v="771"/>
    <n v="4"/>
    <x v="0"/>
    <n v="61"/>
    <n v="3"/>
    <n v="2"/>
    <s v="Healthcare Representative"/>
    <n v="1"/>
    <s v="Divorced"/>
    <x v="0"/>
    <n v="5093"/>
    <n v="4761"/>
    <n v="2"/>
    <s v="Yes"/>
    <s v="No"/>
    <n v="11"/>
    <x v="0"/>
    <n v="1"/>
    <n v="80"/>
    <n v="1"/>
    <n v="16"/>
    <n v="2"/>
    <n v="4"/>
    <n v="1"/>
    <n v="0"/>
    <x v="0"/>
    <n v="0"/>
  </r>
  <r>
    <n v="32"/>
    <x v="1"/>
    <s v="Travel_Frequently"/>
    <n v="430"/>
    <x v="1"/>
    <n v="24"/>
    <n v="4"/>
    <s v="Life Sciences"/>
    <n v="1"/>
    <n v="772"/>
    <n v="1"/>
    <x v="1"/>
    <n v="80"/>
    <n v="3"/>
    <n v="2"/>
    <s v="Laboratory Technician"/>
    <n v="4"/>
    <s v="Married"/>
    <x v="0"/>
    <n v="5309"/>
    <n v="21146"/>
    <n v="1"/>
    <s v="Yes"/>
    <s v="No"/>
    <n v="15"/>
    <x v="0"/>
    <n v="4"/>
    <n v="80"/>
    <n v="2"/>
    <n v="10"/>
    <n v="2"/>
    <n v="3"/>
    <n v="10"/>
    <n v="8"/>
    <x v="5"/>
    <n v="7"/>
  </r>
  <r>
    <n v="38"/>
    <x v="1"/>
    <s v="Travel_Rarely"/>
    <n v="268"/>
    <x v="1"/>
    <n v="2"/>
    <n v="5"/>
    <s v="Medical"/>
    <n v="1"/>
    <n v="773"/>
    <n v="4"/>
    <x v="1"/>
    <n v="92"/>
    <n v="3"/>
    <n v="1"/>
    <s v="Research Scientist"/>
    <n v="3"/>
    <s v="Married"/>
    <x v="2"/>
    <n v="3057"/>
    <n v="20471"/>
    <n v="6"/>
    <s v="Yes"/>
    <s v="Yes"/>
    <n v="13"/>
    <x v="0"/>
    <n v="2"/>
    <n v="80"/>
    <n v="1"/>
    <n v="6"/>
    <n v="0"/>
    <n v="1"/>
    <n v="1"/>
    <n v="0"/>
    <x v="0"/>
    <n v="1"/>
  </r>
  <r>
    <n v="34"/>
    <x v="1"/>
    <s v="Travel_Rarely"/>
    <n v="167"/>
    <x v="1"/>
    <n v="8"/>
    <n v="5"/>
    <s v="Life Sciences"/>
    <n v="1"/>
    <n v="775"/>
    <n v="2"/>
    <x v="0"/>
    <n v="32"/>
    <n v="3"/>
    <n v="2"/>
    <s v="Manufacturing Director"/>
    <n v="1"/>
    <s v="Divorced"/>
    <x v="0"/>
    <n v="5121"/>
    <n v="4187"/>
    <n v="3"/>
    <s v="Yes"/>
    <s v="No"/>
    <n v="14"/>
    <x v="0"/>
    <n v="3"/>
    <n v="80"/>
    <n v="1"/>
    <n v="7"/>
    <n v="3"/>
    <n v="3"/>
    <n v="0"/>
    <n v="0"/>
    <x v="0"/>
    <n v="0"/>
  </r>
  <r>
    <n v="52"/>
    <x v="1"/>
    <s v="Travel_Rarely"/>
    <n v="621"/>
    <x v="0"/>
    <n v="3"/>
    <n v="4"/>
    <s v="Marketing"/>
    <n v="1"/>
    <n v="776"/>
    <n v="3"/>
    <x v="1"/>
    <n v="31"/>
    <n v="2"/>
    <n v="4"/>
    <s v="Manager"/>
    <n v="1"/>
    <s v="Married"/>
    <x v="17"/>
    <n v="16856"/>
    <n v="10084"/>
    <n v="1"/>
    <s v="Yes"/>
    <s v="No"/>
    <n v="11"/>
    <x v="0"/>
    <n v="1"/>
    <n v="80"/>
    <n v="0"/>
    <n v="34"/>
    <n v="3"/>
    <n v="4"/>
    <n v="34"/>
    <n v="6"/>
    <x v="1"/>
    <n v="16"/>
  </r>
  <r>
    <n v="33"/>
    <x v="0"/>
    <s v="Travel_Rarely"/>
    <n v="527"/>
    <x v="1"/>
    <n v="1"/>
    <n v="4"/>
    <s v="Other"/>
    <n v="1"/>
    <n v="780"/>
    <n v="4"/>
    <x v="1"/>
    <n v="63"/>
    <n v="3"/>
    <n v="1"/>
    <s v="Research Scientist"/>
    <n v="4"/>
    <s v="Single"/>
    <x v="1"/>
    <n v="2686"/>
    <n v="5207"/>
    <n v="1"/>
    <s v="Yes"/>
    <s v="Yes"/>
    <n v="13"/>
    <x v="0"/>
    <n v="3"/>
    <n v="80"/>
    <n v="0"/>
    <n v="10"/>
    <n v="2"/>
    <n v="2"/>
    <n v="10"/>
    <n v="9"/>
    <x v="4"/>
    <n v="8"/>
  </r>
  <r>
    <n v="25"/>
    <x v="1"/>
    <s v="Travel_Rarely"/>
    <n v="883"/>
    <x v="0"/>
    <n v="26"/>
    <n v="1"/>
    <s v="Medical"/>
    <n v="1"/>
    <n v="781"/>
    <n v="3"/>
    <x v="0"/>
    <n v="32"/>
    <n v="3"/>
    <n v="2"/>
    <s v="Sales Executive"/>
    <n v="4"/>
    <s v="Single"/>
    <x v="9"/>
    <n v="6180"/>
    <n v="22807"/>
    <n v="1"/>
    <s v="Yes"/>
    <s v="No"/>
    <n v="23"/>
    <x v="1"/>
    <n v="2"/>
    <n v="80"/>
    <n v="0"/>
    <n v="6"/>
    <n v="5"/>
    <n v="2"/>
    <n v="6"/>
    <n v="5"/>
    <x v="1"/>
    <n v="4"/>
  </r>
  <r>
    <n v="45"/>
    <x v="1"/>
    <s v="Travel_Rarely"/>
    <n v="954"/>
    <x v="0"/>
    <n v="2"/>
    <n v="2"/>
    <s v="Technical Degree"/>
    <n v="1"/>
    <n v="783"/>
    <n v="2"/>
    <x v="1"/>
    <n v="46"/>
    <n v="1"/>
    <n v="2"/>
    <s v="Sales Representative"/>
    <n v="3"/>
    <s v="Single"/>
    <x v="9"/>
    <n v="6632"/>
    <n v="12388"/>
    <n v="0"/>
    <s v="Yes"/>
    <s v="No"/>
    <n v="13"/>
    <x v="0"/>
    <n v="1"/>
    <n v="80"/>
    <n v="0"/>
    <n v="9"/>
    <n v="3"/>
    <n v="3"/>
    <n v="8"/>
    <n v="7"/>
    <x v="2"/>
    <n v="1"/>
  </r>
  <r>
    <n v="23"/>
    <x v="1"/>
    <s v="Travel_Rarely"/>
    <n v="310"/>
    <x v="1"/>
    <n v="10"/>
    <n v="1"/>
    <s v="Medical"/>
    <n v="1"/>
    <n v="784"/>
    <n v="1"/>
    <x v="1"/>
    <n v="79"/>
    <n v="4"/>
    <n v="1"/>
    <s v="Research Scientist"/>
    <n v="3"/>
    <s v="Single"/>
    <x v="2"/>
    <n v="3505"/>
    <n v="19630"/>
    <n v="1"/>
    <s v="Yes"/>
    <s v="No"/>
    <n v="18"/>
    <x v="0"/>
    <n v="4"/>
    <n v="80"/>
    <n v="0"/>
    <n v="2"/>
    <n v="3"/>
    <n v="3"/>
    <n v="2"/>
    <n v="2"/>
    <x v="0"/>
    <n v="2"/>
  </r>
  <r>
    <n v="47"/>
    <x v="0"/>
    <s v="Travel_Frequently"/>
    <n v="719"/>
    <x v="0"/>
    <n v="27"/>
    <n v="2"/>
    <s v="Life Sciences"/>
    <n v="1"/>
    <n v="785"/>
    <n v="2"/>
    <x v="0"/>
    <n v="77"/>
    <n v="4"/>
    <n v="2"/>
    <s v="Sales Executive"/>
    <n v="3"/>
    <s v="Single"/>
    <x v="9"/>
    <n v="6397"/>
    <n v="10339"/>
    <n v="4"/>
    <s v="Yes"/>
    <s v="Yes"/>
    <n v="12"/>
    <x v="0"/>
    <n v="4"/>
    <n v="80"/>
    <n v="0"/>
    <n v="8"/>
    <n v="2"/>
    <n v="3"/>
    <n v="5"/>
    <n v="4"/>
    <x v="1"/>
    <n v="3"/>
  </r>
  <r>
    <n v="34"/>
    <x v="1"/>
    <s v="Travel_Rarely"/>
    <n v="304"/>
    <x v="0"/>
    <n v="2"/>
    <n v="3"/>
    <s v="Other"/>
    <n v="1"/>
    <n v="786"/>
    <n v="4"/>
    <x v="1"/>
    <n v="60"/>
    <n v="3"/>
    <n v="2"/>
    <s v="Sales Executive"/>
    <n v="4"/>
    <s v="Single"/>
    <x v="9"/>
    <n v="6274"/>
    <n v="18686"/>
    <n v="1"/>
    <s v="Yes"/>
    <s v="No"/>
    <n v="22"/>
    <x v="1"/>
    <n v="3"/>
    <n v="80"/>
    <n v="0"/>
    <n v="6"/>
    <n v="5"/>
    <n v="3"/>
    <n v="6"/>
    <n v="5"/>
    <x v="1"/>
    <n v="4"/>
  </r>
  <r>
    <n v="55"/>
    <x v="0"/>
    <s v="Travel_Rarely"/>
    <n v="725"/>
    <x v="1"/>
    <n v="2"/>
    <n v="3"/>
    <s v="Medical"/>
    <n v="1"/>
    <n v="787"/>
    <n v="4"/>
    <x v="1"/>
    <n v="78"/>
    <n v="3"/>
    <n v="5"/>
    <s v="Manager"/>
    <n v="1"/>
    <s v="Married"/>
    <x v="8"/>
    <n v="19859"/>
    <n v="21199"/>
    <n v="5"/>
    <s v="Yes"/>
    <s v="Yes"/>
    <n v="13"/>
    <x v="0"/>
    <n v="4"/>
    <n v="80"/>
    <n v="1"/>
    <n v="24"/>
    <n v="2"/>
    <n v="3"/>
    <n v="5"/>
    <n v="2"/>
    <x v="1"/>
    <n v="4"/>
  </r>
  <r>
    <n v="36"/>
    <x v="1"/>
    <s v="Non-Travel"/>
    <n v="1434"/>
    <x v="0"/>
    <n v="8"/>
    <n v="4"/>
    <s v="Life Sciences"/>
    <n v="1"/>
    <n v="789"/>
    <n v="1"/>
    <x v="1"/>
    <n v="76"/>
    <n v="2"/>
    <n v="3"/>
    <s v="Sales Executive"/>
    <n v="1"/>
    <s v="Single"/>
    <x v="14"/>
    <n v="7587"/>
    <n v="14229"/>
    <n v="1"/>
    <s v="Yes"/>
    <s v="No"/>
    <n v="15"/>
    <x v="0"/>
    <n v="2"/>
    <n v="80"/>
    <n v="0"/>
    <n v="10"/>
    <n v="1"/>
    <n v="3"/>
    <n v="10"/>
    <n v="7"/>
    <x v="0"/>
    <n v="9"/>
  </r>
  <r>
    <n v="52"/>
    <x v="1"/>
    <s v="Non-Travel"/>
    <n v="715"/>
    <x v="1"/>
    <n v="19"/>
    <n v="4"/>
    <s v="Medical"/>
    <n v="1"/>
    <n v="791"/>
    <n v="4"/>
    <x v="1"/>
    <n v="41"/>
    <n v="3"/>
    <n v="1"/>
    <s v="Research Scientist"/>
    <n v="4"/>
    <s v="Married"/>
    <x v="4"/>
    <n v="4258"/>
    <n v="26589"/>
    <n v="0"/>
    <s v="Yes"/>
    <s v="No"/>
    <n v="18"/>
    <x v="0"/>
    <n v="1"/>
    <n v="80"/>
    <n v="1"/>
    <n v="5"/>
    <n v="3"/>
    <n v="3"/>
    <n v="4"/>
    <n v="3"/>
    <x v="1"/>
    <n v="2"/>
  </r>
  <r>
    <n v="26"/>
    <x v="1"/>
    <s v="Travel_Frequently"/>
    <n v="575"/>
    <x v="1"/>
    <n v="1"/>
    <n v="2"/>
    <s v="Life Sciences"/>
    <n v="1"/>
    <n v="792"/>
    <n v="1"/>
    <x v="0"/>
    <n v="71"/>
    <n v="1"/>
    <n v="1"/>
    <s v="Laboratory Technician"/>
    <n v="4"/>
    <s v="Divorced"/>
    <x v="4"/>
    <n v="4364"/>
    <n v="5288"/>
    <n v="3"/>
    <s v="Yes"/>
    <s v="No"/>
    <n v="14"/>
    <x v="0"/>
    <n v="1"/>
    <n v="80"/>
    <n v="1"/>
    <n v="5"/>
    <n v="2"/>
    <n v="3"/>
    <n v="2"/>
    <n v="2"/>
    <x v="3"/>
    <n v="0"/>
  </r>
  <r>
    <n v="29"/>
    <x v="1"/>
    <s v="Travel_Rarely"/>
    <n v="657"/>
    <x v="1"/>
    <n v="27"/>
    <n v="3"/>
    <s v="Medical"/>
    <n v="1"/>
    <n v="793"/>
    <n v="2"/>
    <x v="0"/>
    <n v="66"/>
    <n v="3"/>
    <n v="2"/>
    <s v="Healthcare Representative"/>
    <n v="3"/>
    <s v="Married"/>
    <x v="4"/>
    <n v="4335"/>
    <n v="25549"/>
    <n v="4"/>
    <s v="Yes"/>
    <s v="No"/>
    <n v="12"/>
    <x v="0"/>
    <n v="1"/>
    <n v="80"/>
    <n v="1"/>
    <n v="11"/>
    <n v="3"/>
    <n v="2"/>
    <n v="8"/>
    <n v="7"/>
    <x v="1"/>
    <n v="1"/>
  </r>
  <r>
    <n v="26"/>
    <x v="0"/>
    <s v="Travel_Rarely"/>
    <n v="1146"/>
    <x v="0"/>
    <n v="8"/>
    <n v="3"/>
    <s v="Technical Degree"/>
    <n v="1"/>
    <n v="796"/>
    <n v="4"/>
    <x v="1"/>
    <n v="38"/>
    <n v="2"/>
    <n v="2"/>
    <s v="Sales Executive"/>
    <n v="1"/>
    <s v="Single"/>
    <x v="0"/>
    <n v="5326"/>
    <n v="3064"/>
    <n v="6"/>
    <s v="Yes"/>
    <s v="No"/>
    <n v="17"/>
    <x v="0"/>
    <n v="3"/>
    <n v="80"/>
    <n v="0"/>
    <n v="6"/>
    <n v="2"/>
    <n v="2"/>
    <n v="4"/>
    <n v="3"/>
    <x v="1"/>
    <n v="2"/>
  </r>
  <r>
    <n v="34"/>
    <x v="1"/>
    <s v="Travel_Rarely"/>
    <n v="182"/>
    <x v="1"/>
    <n v="1"/>
    <n v="4"/>
    <s v="Life Sciences"/>
    <n v="1"/>
    <n v="797"/>
    <n v="2"/>
    <x v="0"/>
    <n v="72"/>
    <n v="4"/>
    <n v="1"/>
    <s v="Research Scientist"/>
    <n v="4"/>
    <s v="Single"/>
    <x v="2"/>
    <n v="3280"/>
    <n v="13551"/>
    <n v="2"/>
    <s v="Yes"/>
    <s v="No"/>
    <n v="16"/>
    <x v="0"/>
    <n v="3"/>
    <n v="80"/>
    <n v="0"/>
    <n v="10"/>
    <n v="2"/>
    <n v="3"/>
    <n v="4"/>
    <n v="2"/>
    <x v="1"/>
    <n v="3"/>
  </r>
  <r>
    <n v="54"/>
    <x v="1"/>
    <s v="Travel_Rarely"/>
    <n v="376"/>
    <x v="1"/>
    <n v="19"/>
    <n v="4"/>
    <s v="Medical"/>
    <n v="1"/>
    <n v="799"/>
    <n v="4"/>
    <x v="0"/>
    <n v="95"/>
    <n v="3"/>
    <n v="2"/>
    <s v="Manufacturing Director"/>
    <n v="1"/>
    <s v="Divorced"/>
    <x v="0"/>
    <n v="5485"/>
    <n v="22670"/>
    <n v="9"/>
    <s v="Yes"/>
    <s v="Yes"/>
    <n v="11"/>
    <x v="0"/>
    <n v="2"/>
    <n v="80"/>
    <n v="2"/>
    <n v="9"/>
    <n v="4"/>
    <n v="3"/>
    <n v="5"/>
    <n v="3"/>
    <x v="1"/>
    <n v="4"/>
  </r>
  <r>
    <n v="27"/>
    <x v="1"/>
    <s v="Travel_Frequently"/>
    <n v="829"/>
    <x v="0"/>
    <n v="8"/>
    <n v="1"/>
    <s v="Marketing"/>
    <n v="1"/>
    <n v="800"/>
    <n v="3"/>
    <x v="1"/>
    <n v="84"/>
    <n v="3"/>
    <n v="2"/>
    <s v="Sales Executive"/>
    <n v="4"/>
    <s v="Married"/>
    <x v="4"/>
    <n v="4342"/>
    <n v="24008"/>
    <n v="0"/>
    <s v="Yes"/>
    <s v="No"/>
    <n v="19"/>
    <x v="0"/>
    <n v="2"/>
    <n v="80"/>
    <n v="1"/>
    <n v="5"/>
    <n v="3"/>
    <n v="3"/>
    <n v="4"/>
    <n v="2"/>
    <x v="1"/>
    <n v="1"/>
  </r>
  <r>
    <n v="37"/>
    <x v="1"/>
    <s v="Travel_Rarely"/>
    <n v="571"/>
    <x v="1"/>
    <n v="10"/>
    <n v="1"/>
    <s v="Life Sciences"/>
    <n v="1"/>
    <n v="802"/>
    <n v="4"/>
    <x v="0"/>
    <n v="82"/>
    <n v="3"/>
    <n v="1"/>
    <s v="Research Scientist"/>
    <n v="1"/>
    <s v="Divorced"/>
    <x v="1"/>
    <n v="2782"/>
    <n v="19905"/>
    <n v="0"/>
    <s v="Yes"/>
    <s v="Yes"/>
    <n v="13"/>
    <x v="0"/>
    <n v="2"/>
    <n v="80"/>
    <n v="2"/>
    <n v="6"/>
    <n v="3"/>
    <n v="2"/>
    <n v="5"/>
    <n v="3"/>
    <x v="5"/>
    <n v="3"/>
  </r>
  <r>
    <n v="38"/>
    <x v="1"/>
    <s v="Travel_Frequently"/>
    <n v="240"/>
    <x v="1"/>
    <n v="2"/>
    <n v="4"/>
    <s v="Life Sciences"/>
    <n v="1"/>
    <n v="803"/>
    <n v="1"/>
    <x v="0"/>
    <n v="75"/>
    <n v="4"/>
    <n v="2"/>
    <s v="Manufacturing Director"/>
    <n v="1"/>
    <s v="Single"/>
    <x v="0"/>
    <n v="5980"/>
    <n v="26085"/>
    <n v="6"/>
    <s v="Yes"/>
    <s v="Yes"/>
    <n v="12"/>
    <x v="0"/>
    <n v="4"/>
    <n v="80"/>
    <n v="0"/>
    <n v="17"/>
    <n v="2"/>
    <n v="3"/>
    <n v="15"/>
    <n v="7"/>
    <x v="5"/>
    <n v="12"/>
  </r>
  <r>
    <n v="34"/>
    <x v="1"/>
    <s v="Travel_Rarely"/>
    <n v="121"/>
    <x v="1"/>
    <n v="2"/>
    <n v="4"/>
    <s v="Medical"/>
    <n v="1"/>
    <n v="804"/>
    <n v="3"/>
    <x v="0"/>
    <n v="86"/>
    <n v="2"/>
    <n v="1"/>
    <s v="Research Scientist"/>
    <n v="1"/>
    <s v="Single"/>
    <x v="4"/>
    <n v="4381"/>
    <n v="7530"/>
    <n v="1"/>
    <s v="Yes"/>
    <s v="No"/>
    <n v="11"/>
    <x v="0"/>
    <n v="3"/>
    <n v="80"/>
    <n v="0"/>
    <n v="6"/>
    <n v="3"/>
    <n v="3"/>
    <n v="6"/>
    <n v="5"/>
    <x v="1"/>
    <n v="3"/>
  </r>
  <r>
    <n v="35"/>
    <x v="1"/>
    <s v="Travel_Rarely"/>
    <n v="384"/>
    <x v="0"/>
    <n v="8"/>
    <n v="4"/>
    <s v="Life Sciences"/>
    <n v="1"/>
    <n v="805"/>
    <n v="1"/>
    <x v="0"/>
    <n v="72"/>
    <n v="3"/>
    <n v="1"/>
    <s v="Sales Representative"/>
    <n v="4"/>
    <s v="Married"/>
    <x v="1"/>
    <n v="2572"/>
    <n v="20317"/>
    <n v="1"/>
    <s v="Yes"/>
    <s v="No"/>
    <n v="16"/>
    <x v="0"/>
    <n v="2"/>
    <n v="80"/>
    <n v="1"/>
    <n v="3"/>
    <n v="1"/>
    <n v="2"/>
    <n v="3"/>
    <n v="2"/>
    <x v="0"/>
    <n v="2"/>
  </r>
  <r>
    <n v="30"/>
    <x v="1"/>
    <s v="Travel_Rarely"/>
    <n v="921"/>
    <x v="1"/>
    <n v="1"/>
    <n v="3"/>
    <s v="Life Sciences"/>
    <n v="1"/>
    <n v="806"/>
    <n v="4"/>
    <x v="1"/>
    <n v="38"/>
    <n v="1"/>
    <n v="1"/>
    <s v="Laboratory Technician"/>
    <n v="3"/>
    <s v="Married"/>
    <x v="2"/>
    <n v="3833"/>
    <n v="24375"/>
    <n v="3"/>
    <s v="Yes"/>
    <s v="No"/>
    <n v="21"/>
    <x v="1"/>
    <n v="3"/>
    <n v="80"/>
    <n v="2"/>
    <n v="7"/>
    <n v="2"/>
    <n v="3"/>
    <n v="2"/>
    <n v="2"/>
    <x v="0"/>
    <n v="2"/>
  </r>
  <r>
    <n v="40"/>
    <x v="1"/>
    <s v="Travel_Frequently"/>
    <n v="791"/>
    <x v="1"/>
    <n v="2"/>
    <n v="2"/>
    <s v="Medical"/>
    <n v="1"/>
    <n v="807"/>
    <n v="3"/>
    <x v="0"/>
    <n v="38"/>
    <n v="4"/>
    <n v="2"/>
    <s v="Healthcare Representative"/>
    <n v="2"/>
    <s v="Married"/>
    <x v="4"/>
    <n v="4244"/>
    <n v="9931"/>
    <n v="1"/>
    <s v="Yes"/>
    <s v="No"/>
    <n v="24"/>
    <x v="1"/>
    <n v="4"/>
    <n v="80"/>
    <n v="1"/>
    <n v="8"/>
    <n v="2"/>
    <n v="3"/>
    <n v="8"/>
    <n v="7"/>
    <x v="2"/>
    <n v="7"/>
  </r>
  <r>
    <n v="34"/>
    <x v="1"/>
    <s v="Travel_Rarely"/>
    <n v="1111"/>
    <x v="0"/>
    <n v="8"/>
    <n v="2"/>
    <s v="Life Sciences"/>
    <n v="1"/>
    <n v="808"/>
    <n v="3"/>
    <x v="0"/>
    <n v="93"/>
    <n v="3"/>
    <n v="2"/>
    <s v="Sales Executive"/>
    <n v="1"/>
    <s v="Married"/>
    <x v="9"/>
    <n v="6500"/>
    <n v="13305"/>
    <n v="5"/>
    <s v="Yes"/>
    <s v="No"/>
    <n v="17"/>
    <x v="0"/>
    <n v="2"/>
    <n v="80"/>
    <n v="1"/>
    <n v="6"/>
    <n v="1"/>
    <n v="3"/>
    <n v="3"/>
    <n v="2"/>
    <x v="1"/>
    <n v="2"/>
  </r>
  <r>
    <n v="42"/>
    <x v="1"/>
    <s v="Travel_Frequently"/>
    <n v="570"/>
    <x v="1"/>
    <n v="8"/>
    <n v="3"/>
    <s v="Life Sciences"/>
    <n v="1"/>
    <n v="809"/>
    <n v="2"/>
    <x v="1"/>
    <n v="66"/>
    <n v="3"/>
    <n v="5"/>
    <s v="Manager"/>
    <n v="4"/>
    <s v="Divorced"/>
    <x v="11"/>
    <n v="18430"/>
    <n v="16225"/>
    <n v="1"/>
    <s v="Yes"/>
    <s v="No"/>
    <n v="13"/>
    <x v="0"/>
    <n v="2"/>
    <n v="80"/>
    <n v="1"/>
    <n v="24"/>
    <n v="4"/>
    <n v="2"/>
    <n v="24"/>
    <n v="7"/>
    <x v="15"/>
    <n v="9"/>
  </r>
  <r>
    <n v="23"/>
    <x v="0"/>
    <s v="Travel_Rarely"/>
    <n v="1243"/>
    <x v="1"/>
    <n v="6"/>
    <n v="3"/>
    <s v="Life Sciences"/>
    <n v="1"/>
    <n v="811"/>
    <n v="3"/>
    <x v="1"/>
    <n v="63"/>
    <n v="4"/>
    <n v="1"/>
    <s v="Laboratory Technician"/>
    <n v="1"/>
    <s v="Married"/>
    <x v="7"/>
    <n v="1601"/>
    <n v="3445"/>
    <n v="1"/>
    <s v="Yes"/>
    <s v="Yes"/>
    <n v="21"/>
    <x v="1"/>
    <n v="3"/>
    <n v="80"/>
    <n v="2"/>
    <n v="1"/>
    <n v="2"/>
    <n v="3"/>
    <n v="0"/>
    <n v="0"/>
    <x v="0"/>
    <n v="0"/>
  </r>
  <r>
    <n v="24"/>
    <x v="1"/>
    <s v="Non-Travel"/>
    <n v="1092"/>
    <x v="1"/>
    <n v="9"/>
    <n v="3"/>
    <s v="Life Sciences"/>
    <n v="1"/>
    <n v="812"/>
    <n v="3"/>
    <x v="1"/>
    <n v="60"/>
    <n v="2"/>
    <n v="1"/>
    <s v="Laboratory Technician"/>
    <n v="2"/>
    <s v="Divorced"/>
    <x v="1"/>
    <n v="2694"/>
    <n v="26551"/>
    <n v="1"/>
    <s v="Yes"/>
    <s v="No"/>
    <n v="11"/>
    <x v="0"/>
    <n v="3"/>
    <n v="80"/>
    <n v="3"/>
    <n v="1"/>
    <n v="4"/>
    <n v="3"/>
    <n v="1"/>
    <n v="0"/>
    <x v="0"/>
    <n v="0"/>
  </r>
  <r>
    <n v="52"/>
    <x v="1"/>
    <s v="Travel_Rarely"/>
    <n v="1325"/>
    <x v="1"/>
    <n v="11"/>
    <n v="4"/>
    <s v="Life Sciences"/>
    <n v="1"/>
    <n v="813"/>
    <n v="4"/>
    <x v="0"/>
    <n v="82"/>
    <n v="3"/>
    <n v="2"/>
    <s v="Laboratory Technician"/>
    <n v="3"/>
    <s v="Married"/>
    <x v="2"/>
    <n v="3149"/>
    <n v="21821"/>
    <n v="8"/>
    <s v="Yes"/>
    <s v="No"/>
    <n v="20"/>
    <x v="1"/>
    <n v="2"/>
    <n v="80"/>
    <n v="1"/>
    <n v="9"/>
    <n v="3"/>
    <n v="3"/>
    <n v="5"/>
    <n v="2"/>
    <x v="1"/>
    <n v="4"/>
  </r>
  <r>
    <n v="50"/>
    <x v="1"/>
    <s v="Travel_Rarely"/>
    <n v="691"/>
    <x v="1"/>
    <n v="2"/>
    <n v="3"/>
    <s v="Medical"/>
    <n v="1"/>
    <n v="815"/>
    <n v="3"/>
    <x v="1"/>
    <n v="64"/>
    <n v="3"/>
    <n v="4"/>
    <s v="Research Director"/>
    <n v="3"/>
    <s v="Married"/>
    <x v="16"/>
    <n v="17639"/>
    <n v="6881"/>
    <n v="5"/>
    <s v="Yes"/>
    <s v="No"/>
    <n v="16"/>
    <x v="0"/>
    <n v="4"/>
    <n v="80"/>
    <n v="0"/>
    <n v="30"/>
    <n v="3"/>
    <n v="3"/>
    <n v="4"/>
    <n v="3"/>
    <x v="0"/>
    <n v="3"/>
  </r>
  <r>
    <n v="29"/>
    <x v="0"/>
    <s v="Travel_Rarely"/>
    <n v="805"/>
    <x v="1"/>
    <n v="1"/>
    <n v="2"/>
    <s v="Life Sciences"/>
    <n v="1"/>
    <n v="816"/>
    <n v="2"/>
    <x v="0"/>
    <n v="36"/>
    <n v="2"/>
    <n v="1"/>
    <s v="Laboratory Technician"/>
    <n v="1"/>
    <s v="Married"/>
    <x v="1"/>
    <n v="2319"/>
    <n v="6689"/>
    <n v="1"/>
    <s v="Yes"/>
    <s v="Yes"/>
    <n v="11"/>
    <x v="0"/>
    <n v="4"/>
    <n v="80"/>
    <n v="1"/>
    <n v="1"/>
    <n v="1"/>
    <n v="3"/>
    <n v="1"/>
    <n v="0"/>
    <x v="0"/>
    <n v="0"/>
  </r>
  <r>
    <n v="33"/>
    <x v="1"/>
    <s v="Travel_Rarely"/>
    <n v="213"/>
    <x v="1"/>
    <n v="7"/>
    <n v="3"/>
    <s v="Medical"/>
    <n v="1"/>
    <n v="817"/>
    <n v="3"/>
    <x v="1"/>
    <n v="49"/>
    <n v="3"/>
    <n v="3"/>
    <s v="Research Director"/>
    <n v="3"/>
    <s v="Married"/>
    <x v="6"/>
    <n v="11691"/>
    <n v="25995"/>
    <n v="0"/>
    <s v="Yes"/>
    <s v="No"/>
    <n v="11"/>
    <x v="0"/>
    <n v="4"/>
    <n v="80"/>
    <n v="0"/>
    <n v="14"/>
    <n v="3"/>
    <n v="4"/>
    <n v="13"/>
    <n v="9"/>
    <x v="2"/>
    <n v="7"/>
  </r>
  <r>
    <n v="33"/>
    <x v="0"/>
    <s v="Travel_Rarely"/>
    <n v="118"/>
    <x v="0"/>
    <n v="16"/>
    <n v="3"/>
    <s v="Marketing"/>
    <n v="1"/>
    <n v="819"/>
    <n v="1"/>
    <x v="0"/>
    <n v="69"/>
    <n v="3"/>
    <n v="2"/>
    <s v="Sales Executive"/>
    <n v="1"/>
    <s v="Single"/>
    <x v="0"/>
    <n v="5324"/>
    <n v="26507"/>
    <n v="5"/>
    <s v="Yes"/>
    <s v="No"/>
    <n v="15"/>
    <x v="0"/>
    <n v="3"/>
    <n v="80"/>
    <n v="0"/>
    <n v="6"/>
    <n v="3"/>
    <n v="3"/>
    <n v="3"/>
    <n v="2"/>
    <x v="0"/>
    <n v="2"/>
  </r>
  <r>
    <n v="47"/>
    <x v="1"/>
    <s v="Travel_Rarely"/>
    <n v="202"/>
    <x v="1"/>
    <n v="2"/>
    <n v="2"/>
    <s v="Other"/>
    <n v="1"/>
    <n v="820"/>
    <n v="3"/>
    <x v="0"/>
    <n v="33"/>
    <n v="3"/>
    <n v="4"/>
    <s v="Manager"/>
    <n v="4"/>
    <s v="Married"/>
    <x v="17"/>
    <n v="16752"/>
    <n v="12982"/>
    <n v="1"/>
    <s v="Yes"/>
    <s v="Yes"/>
    <n v="11"/>
    <x v="0"/>
    <n v="3"/>
    <n v="80"/>
    <n v="1"/>
    <n v="26"/>
    <n v="3"/>
    <n v="2"/>
    <n v="26"/>
    <n v="14"/>
    <x v="2"/>
    <n v="0"/>
  </r>
  <r>
    <n v="36"/>
    <x v="1"/>
    <s v="Travel_Rarely"/>
    <n v="676"/>
    <x v="1"/>
    <n v="1"/>
    <n v="3"/>
    <s v="Other"/>
    <n v="1"/>
    <n v="823"/>
    <n v="3"/>
    <x v="0"/>
    <n v="35"/>
    <n v="3"/>
    <n v="2"/>
    <s v="Manufacturing Director"/>
    <n v="2"/>
    <s v="Married"/>
    <x v="0"/>
    <n v="5228"/>
    <n v="23361"/>
    <n v="0"/>
    <s v="Yes"/>
    <s v="No"/>
    <n v="15"/>
    <x v="0"/>
    <n v="1"/>
    <n v="80"/>
    <n v="1"/>
    <n v="10"/>
    <n v="2"/>
    <n v="3"/>
    <n v="9"/>
    <n v="7"/>
    <x v="0"/>
    <n v="5"/>
  </r>
  <r>
    <n v="29"/>
    <x v="1"/>
    <s v="Travel_Rarely"/>
    <n v="1252"/>
    <x v="1"/>
    <n v="23"/>
    <n v="2"/>
    <s v="Life Sciences"/>
    <n v="1"/>
    <n v="824"/>
    <n v="3"/>
    <x v="1"/>
    <n v="81"/>
    <n v="4"/>
    <n v="1"/>
    <s v="Research Scientist"/>
    <n v="3"/>
    <s v="Married"/>
    <x v="1"/>
    <n v="2700"/>
    <n v="23779"/>
    <n v="1"/>
    <s v="Yes"/>
    <s v="No"/>
    <n v="24"/>
    <x v="1"/>
    <n v="3"/>
    <n v="80"/>
    <n v="1"/>
    <n v="10"/>
    <n v="3"/>
    <n v="3"/>
    <n v="10"/>
    <n v="7"/>
    <x v="0"/>
    <n v="7"/>
  </r>
  <r>
    <n v="58"/>
    <x v="0"/>
    <s v="Travel_Rarely"/>
    <n v="286"/>
    <x v="1"/>
    <n v="2"/>
    <n v="4"/>
    <s v="Life Sciences"/>
    <n v="1"/>
    <n v="825"/>
    <n v="4"/>
    <x v="1"/>
    <n v="31"/>
    <n v="3"/>
    <n v="5"/>
    <s v="Research Director"/>
    <n v="2"/>
    <s v="Single"/>
    <x v="8"/>
    <n v="19246"/>
    <n v="25761"/>
    <n v="7"/>
    <s v="Yes"/>
    <s v="Yes"/>
    <n v="12"/>
    <x v="0"/>
    <n v="4"/>
    <n v="80"/>
    <n v="0"/>
    <n v="40"/>
    <n v="2"/>
    <n v="3"/>
    <n v="31"/>
    <n v="15"/>
    <x v="11"/>
    <n v="8"/>
  </r>
  <r>
    <n v="35"/>
    <x v="1"/>
    <s v="Travel_Rarely"/>
    <n v="1258"/>
    <x v="1"/>
    <n v="1"/>
    <n v="4"/>
    <s v="Life Sciences"/>
    <n v="1"/>
    <n v="826"/>
    <n v="4"/>
    <x v="0"/>
    <n v="40"/>
    <n v="4"/>
    <n v="1"/>
    <s v="Research Scientist"/>
    <n v="3"/>
    <s v="Single"/>
    <x v="1"/>
    <n v="2506"/>
    <n v="13301"/>
    <n v="3"/>
    <s v="Yes"/>
    <s v="No"/>
    <n v="13"/>
    <x v="0"/>
    <n v="3"/>
    <n v="80"/>
    <n v="0"/>
    <n v="7"/>
    <n v="0"/>
    <n v="3"/>
    <n v="2"/>
    <n v="2"/>
    <x v="3"/>
    <n v="2"/>
  </r>
  <r>
    <n v="42"/>
    <x v="1"/>
    <s v="Travel_Rarely"/>
    <n v="932"/>
    <x v="1"/>
    <n v="1"/>
    <n v="2"/>
    <s v="Life Sciences"/>
    <n v="1"/>
    <n v="827"/>
    <n v="4"/>
    <x v="0"/>
    <n v="43"/>
    <n v="2"/>
    <n v="2"/>
    <s v="Manufacturing Director"/>
    <n v="4"/>
    <s v="Married"/>
    <x v="9"/>
    <n v="6062"/>
    <n v="4051"/>
    <n v="9"/>
    <s v="Yes"/>
    <s v="Yes"/>
    <n v="13"/>
    <x v="0"/>
    <n v="4"/>
    <n v="80"/>
    <n v="1"/>
    <n v="8"/>
    <n v="4"/>
    <n v="3"/>
    <n v="4"/>
    <n v="3"/>
    <x v="0"/>
    <n v="2"/>
  </r>
  <r>
    <n v="28"/>
    <x v="0"/>
    <s v="Travel_Rarely"/>
    <n v="890"/>
    <x v="1"/>
    <n v="2"/>
    <n v="4"/>
    <s v="Medical"/>
    <n v="1"/>
    <n v="828"/>
    <n v="3"/>
    <x v="1"/>
    <n v="46"/>
    <n v="3"/>
    <n v="1"/>
    <s v="Research Scientist"/>
    <n v="3"/>
    <s v="Single"/>
    <x v="4"/>
    <n v="4382"/>
    <n v="16374"/>
    <n v="6"/>
    <s v="Yes"/>
    <s v="No"/>
    <n v="17"/>
    <x v="0"/>
    <n v="4"/>
    <n v="80"/>
    <n v="0"/>
    <n v="5"/>
    <n v="3"/>
    <n v="2"/>
    <n v="2"/>
    <n v="2"/>
    <x v="3"/>
    <n v="1"/>
  </r>
  <r>
    <n v="36"/>
    <x v="1"/>
    <s v="Travel_Rarely"/>
    <n v="1041"/>
    <x v="2"/>
    <n v="13"/>
    <n v="3"/>
    <s v="Human Resources"/>
    <n v="1"/>
    <n v="829"/>
    <n v="3"/>
    <x v="1"/>
    <n v="36"/>
    <n v="3"/>
    <n v="1"/>
    <s v="Human Resources"/>
    <n v="2"/>
    <s v="Married"/>
    <x v="1"/>
    <n v="2143"/>
    <n v="25527"/>
    <n v="4"/>
    <s v="Yes"/>
    <s v="No"/>
    <n v="13"/>
    <x v="0"/>
    <n v="2"/>
    <n v="80"/>
    <n v="1"/>
    <n v="8"/>
    <n v="2"/>
    <n v="3"/>
    <n v="5"/>
    <n v="2"/>
    <x v="0"/>
    <n v="4"/>
  </r>
  <r>
    <n v="32"/>
    <x v="1"/>
    <s v="Travel_Rarely"/>
    <n v="859"/>
    <x v="1"/>
    <n v="4"/>
    <n v="3"/>
    <s v="Life Sciences"/>
    <n v="1"/>
    <n v="830"/>
    <n v="3"/>
    <x v="0"/>
    <n v="98"/>
    <n v="2"/>
    <n v="2"/>
    <s v="Manufacturing Director"/>
    <n v="3"/>
    <s v="Married"/>
    <x v="9"/>
    <n v="6162"/>
    <n v="19124"/>
    <n v="1"/>
    <s v="Yes"/>
    <s v="No"/>
    <n v="12"/>
    <x v="0"/>
    <n v="3"/>
    <n v="80"/>
    <n v="1"/>
    <n v="14"/>
    <n v="3"/>
    <n v="3"/>
    <n v="14"/>
    <n v="13"/>
    <x v="7"/>
    <n v="8"/>
  </r>
  <r>
    <n v="40"/>
    <x v="1"/>
    <s v="Travel_Frequently"/>
    <n v="720"/>
    <x v="1"/>
    <n v="16"/>
    <n v="4"/>
    <s v="Medical"/>
    <n v="1"/>
    <n v="832"/>
    <n v="1"/>
    <x v="1"/>
    <n v="51"/>
    <n v="2"/>
    <n v="2"/>
    <s v="Laboratory Technician"/>
    <n v="3"/>
    <s v="Single"/>
    <x v="0"/>
    <n v="5094"/>
    <n v="11983"/>
    <n v="6"/>
    <s v="Yes"/>
    <s v="No"/>
    <n v="14"/>
    <x v="0"/>
    <n v="4"/>
    <n v="80"/>
    <n v="0"/>
    <n v="10"/>
    <n v="6"/>
    <n v="3"/>
    <n v="1"/>
    <n v="0"/>
    <x v="0"/>
    <n v="0"/>
  </r>
  <r>
    <n v="30"/>
    <x v="1"/>
    <s v="Travel_Rarely"/>
    <n v="946"/>
    <x v="1"/>
    <n v="2"/>
    <n v="3"/>
    <s v="Medical"/>
    <n v="1"/>
    <n v="833"/>
    <n v="3"/>
    <x v="0"/>
    <n v="52"/>
    <n v="2"/>
    <n v="2"/>
    <s v="Manufacturing Director"/>
    <n v="4"/>
    <s v="Single"/>
    <x v="9"/>
    <n v="6877"/>
    <n v="20234"/>
    <n v="5"/>
    <s v="Yes"/>
    <s v="Yes"/>
    <n v="24"/>
    <x v="1"/>
    <n v="2"/>
    <n v="80"/>
    <n v="0"/>
    <n v="12"/>
    <n v="4"/>
    <n v="2"/>
    <n v="0"/>
    <n v="0"/>
    <x v="0"/>
    <n v="0"/>
  </r>
  <r>
    <n v="45"/>
    <x v="1"/>
    <s v="Travel_Rarely"/>
    <n v="252"/>
    <x v="1"/>
    <n v="2"/>
    <n v="3"/>
    <s v="Life Sciences"/>
    <n v="1"/>
    <n v="834"/>
    <n v="2"/>
    <x v="0"/>
    <n v="95"/>
    <n v="2"/>
    <n v="1"/>
    <s v="Research Scientist"/>
    <n v="3"/>
    <s v="Single"/>
    <x v="1"/>
    <n v="2274"/>
    <n v="6153"/>
    <n v="1"/>
    <s v="Yes"/>
    <s v="No"/>
    <n v="14"/>
    <x v="0"/>
    <n v="4"/>
    <n v="80"/>
    <n v="0"/>
    <n v="1"/>
    <n v="3"/>
    <n v="3"/>
    <n v="1"/>
    <n v="0"/>
    <x v="0"/>
    <n v="0"/>
  </r>
  <r>
    <n v="42"/>
    <x v="1"/>
    <s v="Travel_Rarely"/>
    <n v="933"/>
    <x v="1"/>
    <n v="29"/>
    <n v="3"/>
    <s v="Life Sciences"/>
    <n v="1"/>
    <n v="836"/>
    <n v="2"/>
    <x v="1"/>
    <n v="98"/>
    <n v="3"/>
    <n v="2"/>
    <s v="Manufacturing Director"/>
    <n v="2"/>
    <s v="Married"/>
    <x v="4"/>
    <n v="4434"/>
    <n v="11806"/>
    <n v="1"/>
    <s v="Yes"/>
    <s v="No"/>
    <n v="13"/>
    <x v="0"/>
    <n v="4"/>
    <n v="80"/>
    <n v="1"/>
    <n v="10"/>
    <n v="3"/>
    <n v="2"/>
    <n v="9"/>
    <n v="8"/>
    <x v="4"/>
    <n v="8"/>
  </r>
  <r>
    <n v="38"/>
    <x v="1"/>
    <s v="Travel_Frequently"/>
    <n v="471"/>
    <x v="1"/>
    <n v="12"/>
    <n v="3"/>
    <s v="Life Sciences"/>
    <n v="1"/>
    <n v="837"/>
    <n v="1"/>
    <x v="1"/>
    <n v="45"/>
    <n v="2"/>
    <n v="2"/>
    <s v="Healthcare Representative"/>
    <n v="1"/>
    <s v="Divorced"/>
    <x v="9"/>
    <n v="6288"/>
    <n v="4284"/>
    <n v="2"/>
    <s v="Yes"/>
    <s v="No"/>
    <n v="15"/>
    <x v="0"/>
    <n v="3"/>
    <n v="80"/>
    <n v="1"/>
    <n v="13"/>
    <n v="3"/>
    <n v="2"/>
    <n v="4"/>
    <n v="3"/>
    <x v="1"/>
    <n v="2"/>
  </r>
  <r>
    <n v="34"/>
    <x v="1"/>
    <s v="Travel_Frequently"/>
    <n v="702"/>
    <x v="1"/>
    <n v="16"/>
    <n v="4"/>
    <s v="Life Sciences"/>
    <n v="1"/>
    <n v="838"/>
    <n v="3"/>
    <x v="0"/>
    <n v="100"/>
    <n v="2"/>
    <n v="1"/>
    <s v="Research Scientist"/>
    <n v="4"/>
    <s v="Single"/>
    <x v="1"/>
    <n v="2553"/>
    <n v="8306"/>
    <n v="1"/>
    <s v="Yes"/>
    <s v="No"/>
    <n v="16"/>
    <x v="0"/>
    <n v="3"/>
    <n v="80"/>
    <n v="0"/>
    <n v="6"/>
    <n v="3"/>
    <n v="3"/>
    <n v="5"/>
    <n v="2"/>
    <x v="1"/>
    <n v="3"/>
  </r>
  <r>
    <n v="49"/>
    <x v="0"/>
    <s v="Travel_Rarely"/>
    <n v="1184"/>
    <x v="0"/>
    <n v="11"/>
    <n v="3"/>
    <s v="Marketing"/>
    <n v="1"/>
    <n v="840"/>
    <n v="3"/>
    <x v="0"/>
    <n v="43"/>
    <n v="3"/>
    <n v="3"/>
    <s v="Sales Executive"/>
    <n v="4"/>
    <s v="Married"/>
    <x v="14"/>
    <n v="7654"/>
    <n v="5860"/>
    <n v="1"/>
    <s v="Yes"/>
    <s v="No"/>
    <n v="18"/>
    <x v="0"/>
    <n v="1"/>
    <n v="80"/>
    <n v="2"/>
    <n v="9"/>
    <n v="3"/>
    <n v="4"/>
    <n v="9"/>
    <n v="8"/>
    <x v="4"/>
    <n v="7"/>
  </r>
  <r>
    <n v="55"/>
    <x v="0"/>
    <s v="Travel_Rarely"/>
    <n v="436"/>
    <x v="0"/>
    <n v="2"/>
    <n v="1"/>
    <s v="Medical"/>
    <n v="1"/>
    <n v="842"/>
    <n v="3"/>
    <x v="1"/>
    <n v="37"/>
    <n v="3"/>
    <n v="2"/>
    <s v="Sales Executive"/>
    <n v="4"/>
    <s v="Single"/>
    <x v="0"/>
    <n v="5160"/>
    <n v="21519"/>
    <n v="4"/>
    <s v="Yes"/>
    <s v="No"/>
    <n v="16"/>
    <x v="0"/>
    <n v="3"/>
    <n v="80"/>
    <n v="0"/>
    <n v="12"/>
    <n v="3"/>
    <n v="2"/>
    <n v="9"/>
    <n v="7"/>
    <x v="4"/>
    <n v="3"/>
  </r>
  <r>
    <n v="43"/>
    <x v="1"/>
    <s v="Travel_Rarely"/>
    <n v="589"/>
    <x v="1"/>
    <n v="14"/>
    <n v="2"/>
    <s v="Life Sciences"/>
    <n v="1"/>
    <n v="843"/>
    <n v="2"/>
    <x v="1"/>
    <n v="94"/>
    <n v="3"/>
    <n v="4"/>
    <s v="Research Director"/>
    <n v="1"/>
    <s v="Married"/>
    <x v="16"/>
    <n v="17159"/>
    <n v="5200"/>
    <n v="6"/>
    <s v="Yes"/>
    <s v="No"/>
    <n v="24"/>
    <x v="1"/>
    <n v="3"/>
    <n v="80"/>
    <n v="1"/>
    <n v="22"/>
    <n v="3"/>
    <n v="3"/>
    <n v="4"/>
    <n v="1"/>
    <x v="1"/>
    <n v="0"/>
  </r>
  <r>
    <n v="27"/>
    <x v="1"/>
    <s v="Travel_Rarely"/>
    <n v="269"/>
    <x v="1"/>
    <n v="5"/>
    <n v="1"/>
    <s v="Technical Degree"/>
    <n v="1"/>
    <n v="844"/>
    <n v="3"/>
    <x v="1"/>
    <n v="42"/>
    <n v="2"/>
    <n v="3"/>
    <s v="Research Director"/>
    <n v="4"/>
    <s v="Divorced"/>
    <x v="18"/>
    <n v="12808"/>
    <n v="8842"/>
    <n v="1"/>
    <s v="Yes"/>
    <s v="Yes"/>
    <n v="16"/>
    <x v="0"/>
    <n v="2"/>
    <n v="80"/>
    <n v="1"/>
    <n v="9"/>
    <n v="3"/>
    <n v="3"/>
    <n v="9"/>
    <n v="8"/>
    <x v="0"/>
    <n v="8"/>
  </r>
  <r>
    <n v="35"/>
    <x v="1"/>
    <s v="Travel_Rarely"/>
    <n v="950"/>
    <x v="1"/>
    <n v="7"/>
    <n v="3"/>
    <s v="Other"/>
    <n v="1"/>
    <n v="845"/>
    <n v="3"/>
    <x v="1"/>
    <n v="59"/>
    <n v="3"/>
    <n v="3"/>
    <s v="Manufacturing Director"/>
    <n v="3"/>
    <s v="Single"/>
    <x v="10"/>
    <n v="10221"/>
    <n v="18869"/>
    <n v="3"/>
    <s v="Yes"/>
    <s v="No"/>
    <n v="21"/>
    <x v="1"/>
    <n v="2"/>
    <n v="80"/>
    <n v="0"/>
    <n v="17"/>
    <n v="3"/>
    <n v="4"/>
    <n v="8"/>
    <n v="5"/>
    <x v="1"/>
    <n v="6"/>
  </r>
  <r>
    <n v="28"/>
    <x v="1"/>
    <s v="Travel_Rarely"/>
    <n v="760"/>
    <x v="0"/>
    <n v="2"/>
    <n v="4"/>
    <s v="Marketing"/>
    <n v="1"/>
    <n v="846"/>
    <n v="2"/>
    <x v="0"/>
    <n v="81"/>
    <n v="3"/>
    <n v="2"/>
    <s v="Sales Executive"/>
    <n v="2"/>
    <s v="Married"/>
    <x v="4"/>
    <n v="4779"/>
    <n v="3698"/>
    <n v="1"/>
    <s v="Yes"/>
    <s v="Yes"/>
    <n v="20"/>
    <x v="1"/>
    <n v="1"/>
    <n v="80"/>
    <n v="0"/>
    <n v="8"/>
    <n v="2"/>
    <n v="3"/>
    <n v="8"/>
    <n v="7"/>
    <x v="4"/>
    <n v="5"/>
  </r>
  <r>
    <n v="34"/>
    <x v="1"/>
    <s v="Travel_Rarely"/>
    <n v="829"/>
    <x v="2"/>
    <n v="3"/>
    <n v="2"/>
    <s v="Human Resources"/>
    <n v="1"/>
    <n v="847"/>
    <n v="3"/>
    <x v="1"/>
    <n v="88"/>
    <n v="3"/>
    <n v="1"/>
    <s v="Human Resources"/>
    <n v="4"/>
    <s v="Married"/>
    <x v="2"/>
    <n v="3737"/>
    <n v="2243"/>
    <n v="0"/>
    <s v="Yes"/>
    <s v="No"/>
    <n v="19"/>
    <x v="0"/>
    <n v="3"/>
    <n v="80"/>
    <n v="1"/>
    <n v="4"/>
    <n v="1"/>
    <n v="1"/>
    <n v="3"/>
    <n v="2"/>
    <x v="0"/>
    <n v="2"/>
  </r>
  <r>
    <n v="26"/>
    <x v="0"/>
    <s v="Travel_Frequently"/>
    <n v="887"/>
    <x v="1"/>
    <n v="5"/>
    <n v="2"/>
    <s v="Medical"/>
    <n v="1"/>
    <n v="848"/>
    <n v="3"/>
    <x v="0"/>
    <n v="88"/>
    <n v="2"/>
    <n v="1"/>
    <s v="Research Scientist"/>
    <n v="3"/>
    <s v="Married"/>
    <x v="1"/>
    <n v="2366"/>
    <n v="20898"/>
    <n v="1"/>
    <s v="Yes"/>
    <s v="Yes"/>
    <n v="14"/>
    <x v="0"/>
    <n v="1"/>
    <n v="80"/>
    <n v="1"/>
    <n v="8"/>
    <n v="2"/>
    <n v="3"/>
    <n v="8"/>
    <n v="7"/>
    <x v="1"/>
    <n v="7"/>
  </r>
  <r>
    <n v="27"/>
    <x v="1"/>
    <s v="Non-Travel"/>
    <n v="443"/>
    <x v="1"/>
    <n v="3"/>
    <n v="3"/>
    <s v="Medical"/>
    <n v="1"/>
    <n v="850"/>
    <n v="4"/>
    <x v="1"/>
    <n v="50"/>
    <n v="3"/>
    <n v="1"/>
    <s v="Research Scientist"/>
    <n v="4"/>
    <s v="Married"/>
    <x v="7"/>
    <n v="1706"/>
    <n v="16571"/>
    <n v="1"/>
    <s v="Yes"/>
    <s v="No"/>
    <n v="11"/>
    <x v="0"/>
    <n v="3"/>
    <n v="80"/>
    <n v="3"/>
    <n v="0"/>
    <n v="6"/>
    <n v="2"/>
    <n v="0"/>
    <n v="0"/>
    <x v="0"/>
    <n v="0"/>
  </r>
  <r>
    <n v="51"/>
    <x v="1"/>
    <s v="Travel_Rarely"/>
    <n v="1318"/>
    <x v="0"/>
    <n v="26"/>
    <n v="4"/>
    <s v="Marketing"/>
    <n v="1"/>
    <n v="851"/>
    <n v="1"/>
    <x v="0"/>
    <n v="66"/>
    <n v="3"/>
    <n v="4"/>
    <s v="Manager"/>
    <n v="3"/>
    <s v="Married"/>
    <x v="17"/>
    <n v="16307"/>
    <n v="5594"/>
    <n v="2"/>
    <s v="Yes"/>
    <s v="No"/>
    <n v="14"/>
    <x v="0"/>
    <n v="3"/>
    <n v="80"/>
    <n v="1"/>
    <n v="29"/>
    <n v="2"/>
    <n v="2"/>
    <n v="20"/>
    <n v="6"/>
    <x v="5"/>
    <n v="17"/>
  </r>
  <r>
    <n v="44"/>
    <x v="1"/>
    <s v="Travel_Rarely"/>
    <n v="625"/>
    <x v="1"/>
    <n v="4"/>
    <n v="3"/>
    <s v="Medical"/>
    <n v="1"/>
    <n v="852"/>
    <n v="4"/>
    <x v="1"/>
    <n v="50"/>
    <n v="3"/>
    <n v="2"/>
    <s v="Healthcare Representative"/>
    <n v="2"/>
    <s v="Single"/>
    <x v="0"/>
    <n v="5933"/>
    <n v="5197"/>
    <n v="9"/>
    <s v="Yes"/>
    <s v="No"/>
    <n v="12"/>
    <x v="0"/>
    <n v="4"/>
    <n v="80"/>
    <n v="0"/>
    <n v="10"/>
    <n v="2"/>
    <n v="2"/>
    <n v="5"/>
    <n v="2"/>
    <x v="3"/>
    <n v="3"/>
  </r>
  <r>
    <n v="25"/>
    <x v="1"/>
    <s v="Travel_Rarely"/>
    <n v="180"/>
    <x v="1"/>
    <n v="2"/>
    <n v="1"/>
    <s v="Medical"/>
    <n v="1"/>
    <n v="854"/>
    <n v="1"/>
    <x v="1"/>
    <n v="65"/>
    <n v="4"/>
    <n v="1"/>
    <s v="Research Scientist"/>
    <n v="1"/>
    <s v="Single"/>
    <x v="2"/>
    <n v="3424"/>
    <n v="21632"/>
    <n v="7"/>
    <s v="Yes"/>
    <s v="No"/>
    <n v="13"/>
    <x v="0"/>
    <n v="3"/>
    <n v="80"/>
    <n v="0"/>
    <n v="6"/>
    <n v="3"/>
    <n v="2"/>
    <n v="4"/>
    <n v="3"/>
    <x v="0"/>
    <n v="1"/>
  </r>
  <r>
    <n v="33"/>
    <x v="1"/>
    <s v="Travel_Rarely"/>
    <n v="586"/>
    <x v="0"/>
    <n v="1"/>
    <n v="3"/>
    <s v="Medical"/>
    <n v="1"/>
    <n v="855"/>
    <n v="1"/>
    <x v="1"/>
    <n v="48"/>
    <n v="4"/>
    <n v="2"/>
    <s v="Sales Executive"/>
    <n v="1"/>
    <s v="Divorced"/>
    <x v="4"/>
    <n v="4037"/>
    <n v="21816"/>
    <n v="1"/>
    <s v="Yes"/>
    <s v="No"/>
    <n v="22"/>
    <x v="1"/>
    <n v="1"/>
    <n v="80"/>
    <n v="1"/>
    <n v="9"/>
    <n v="5"/>
    <n v="3"/>
    <n v="9"/>
    <n v="8"/>
    <x v="0"/>
    <n v="8"/>
  </r>
  <r>
    <n v="35"/>
    <x v="1"/>
    <s v="Travel_Rarely"/>
    <n v="1343"/>
    <x v="1"/>
    <n v="27"/>
    <n v="1"/>
    <s v="Medical"/>
    <n v="1"/>
    <n v="856"/>
    <n v="3"/>
    <x v="0"/>
    <n v="53"/>
    <n v="2"/>
    <n v="1"/>
    <s v="Research Scientist"/>
    <n v="1"/>
    <s v="Single"/>
    <x v="1"/>
    <n v="2559"/>
    <n v="17852"/>
    <n v="1"/>
    <s v="Yes"/>
    <s v="No"/>
    <n v="11"/>
    <x v="0"/>
    <n v="4"/>
    <n v="80"/>
    <n v="0"/>
    <n v="6"/>
    <n v="3"/>
    <n v="2"/>
    <n v="6"/>
    <n v="5"/>
    <x v="1"/>
    <n v="1"/>
  </r>
  <r>
    <n v="36"/>
    <x v="1"/>
    <s v="Travel_Rarely"/>
    <n v="928"/>
    <x v="0"/>
    <n v="1"/>
    <n v="2"/>
    <s v="Life Sciences"/>
    <n v="1"/>
    <n v="857"/>
    <n v="2"/>
    <x v="1"/>
    <n v="56"/>
    <n v="3"/>
    <n v="2"/>
    <s v="Sales Executive"/>
    <n v="4"/>
    <s v="Married"/>
    <x v="9"/>
    <n v="6201"/>
    <n v="2823"/>
    <n v="1"/>
    <s v="Yes"/>
    <s v="Yes"/>
    <n v="14"/>
    <x v="0"/>
    <n v="4"/>
    <n v="80"/>
    <n v="1"/>
    <n v="18"/>
    <n v="1"/>
    <n v="2"/>
    <n v="18"/>
    <n v="14"/>
    <x v="5"/>
    <n v="11"/>
  </r>
  <r>
    <n v="32"/>
    <x v="1"/>
    <s v="Travel_Rarely"/>
    <n v="117"/>
    <x v="0"/>
    <n v="13"/>
    <n v="4"/>
    <s v="Life Sciences"/>
    <n v="1"/>
    <n v="859"/>
    <n v="2"/>
    <x v="1"/>
    <n v="73"/>
    <n v="3"/>
    <n v="2"/>
    <s v="Sales Executive"/>
    <n v="4"/>
    <s v="Divorced"/>
    <x v="4"/>
    <n v="4403"/>
    <n v="9250"/>
    <n v="2"/>
    <s v="Yes"/>
    <s v="No"/>
    <n v="11"/>
    <x v="0"/>
    <n v="3"/>
    <n v="80"/>
    <n v="1"/>
    <n v="8"/>
    <n v="3"/>
    <n v="2"/>
    <n v="5"/>
    <n v="2"/>
    <x v="0"/>
    <n v="3"/>
  </r>
  <r>
    <n v="30"/>
    <x v="1"/>
    <s v="Travel_Frequently"/>
    <n v="1012"/>
    <x v="1"/>
    <n v="5"/>
    <n v="4"/>
    <s v="Life Sciences"/>
    <n v="1"/>
    <n v="861"/>
    <n v="2"/>
    <x v="1"/>
    <n v="75"/>
    <n v="2"/>
    <n v="1"/>
    <s v="Research Scientist"/>
    <n v="4"/>
    <s v="Divorced"/>
    <x v="2"/>
    <n v="3761"/>
    <n v="2373"/>
    <n v="9"/>
    <s v="Yes"/>
    <s v="No"/>
    <n v="12"/>
    <x v="0"/>
    <n v="2"/>
    <n v="80"/>
    <n v="1"/>
    <n v="10"/>
    <n v="3"/>
    <n v="2"/>
    <n v="5"/>
    <n v="4"/>
    <x v="0"/>
    <n v="3"/>
  </r>
  <r>
    <n v="53"/>
    <x v="1"/>
    <s v="Travel_Rarely"/>
    <n v="661"/>
    <x v="0"/>
    <n v="7"/>
    <n v="2"/>
    <s v="Marketing"/>
    <n v="1"/>
    <n v="862"/>
    <n v="1"/>
    <x v="0"/>
    <n v="78"/>
    <n v="2"/>
    <n v="3"/>
    <s v="Sales Executive"/>
    <n v="4"/>
    <s v="Married"/>
    <x v="10"/>
    <n v="10934"/>
    <n v="20715"/>
    <n v="7"/>
    <s v="Yes"/>
    <s v="Yes"/>
    <n v="18"/>
    <x v="0"/>
    <n v="4"/>
    <n v="80"/>
    <n v="1"/>
    <n v="35"/>
    <n v="3"/>
    <n v="3"/>
    <n v="5"/>
    <n v="2"/>
    <x v="0"/>
    <n v="4"/>
  </r>
  <r>
    <n v="45"/>
    <x v="1"/>
    <s v="Travel_Rarely"/>
    <n v="930"/>
    <x v="0"/>
    <n v="9"/>
    <n v="3"/>
    <s v="Marketing"/>
    <n v="1"/>
    <n v="864"/>
    <n v="4"/>
    <x v="1"/>
    <n v="74"/>
    <n v="3"/>
    <n v="3"/>
    <s v="Sales Executive"/>
    <n v="1"/>
    <s v="Divorced"/>
    <x v="10"/>
    <n v="10761"/>
    <n v="19239"/>
    <n v="4"/>
    <s v="Yes"/>
    <s v="Yes"/>
    <n v="12"/>
    <x v="0"/>
    <n v="3"/>
    <n v="80"/>
    <n v="1"/>
    <n v="18"/>
    <n v="2"/>
    <n v="3"/>
    <n v="5"/>
    <n v="4"/>
    <x v="0"/>
    <n v="2"/>
  </r>
  <r>
    <n v="32"/>
    <x v="1"/>
    <s v="Travel_Rarely"/>
    <n v="638"/>
    <x v="1"/>
    <n v="8"/>
    <n v="2"/>
    <s v="Medical"/>
    <n v="1"/>
    <n v="865"/>
    <n v="3"/>
    <x v="0"/>
    <n v="91"/>
    <n v="4"/>
    <n v="2"/>
    <s v="Research Scientist"/>
    <n v="3"/>
    <s v="Married"/>
    <x v="0"/>
    <n v="5175"/>
    <n v="22162"/>
    <n v="5"/>
    <s v="Yes"/>
    <s v="No"/>
    <n v="12"/>
    <x v="0"/>
    <n v="3"/>
    <n v="80"/>
    <n v="1"/>
    <n v="9"/>
    <n v="3"/>
    <n v="2"/>
    <n v="5"/>
    <n v="3"/>
    <x v="1"/>
    <n v="3"/>
  </r>
  <r>
    <n v="52"/>
    <x v="1"/>
    <s v="Travel_Frequently"/>
    <n v="890"/>
    <x v="1"/>
    <n v="25"/>
    <n v="4"/>
    <s v="Medical"/>
    <n v="1"/>
    <n v="867"/>
    <n v="3"/>
    <x v="0"/>
    <n v="81"/>
    <n v="2"/>
    <n v="4"/>
    <s v="Manufacturing Director"/>
    <n v="4"/>
    <s v="Married"/>
    <x v="13"/>
    <n v="13826"/>
    <n v="19028"/>
    <n v="3"/>
    <s v="Yes"/>
    <s v="No"/>
    <n v="22"/>
    <x v="1"/>
    <n v="3"/>
    <n v="80"/>
    <n v="0"/>
    <n v="31"/>
    <n v="3"/>
    <n v="3"/>
    <n v="9"/>
    <n v="8"/>
    <x v="0"/>
    <n v="0"/>
  </r>
  <r>
    <n v="37"/>
    <x v="1"/>
    <s v="Travel_Rarely"/>
    <n v="342"/>
    <x v="0"/>
    <n v="16"/>
    <n v="4"/>
    <s v="Marketing"/>
    <n v="1"/>
    <n v="868"/>
    <n v="4"/>
    <x v="1"/>
    <n v="66"/>
    <n v="2"/>
    <n v="2"/>
    <s v="Sales Executive"/>
    <n v="3"/>
    <s v="Divorced"/>
    <x v="9"/>
    <n v="6334"/>
    <n v="24558"/>
    <n v="4"/>
    <s v="Yes"/>
    <s v="No"/>
    <n v="19"/>
    <x v="0"/>
    <n v="4"/>
    <n v="80"/>
    <n v="2"/>
    <n v="9"/>
    <n v="2"/>
    <n v="3"/>
    <n v="1"/>
    <n v="0"/>
    <x v="0"/>
    <n v="0"/>
  </r>
  <r>
    <n v="28"/>
    <x v="1"/>
    <s v="Travel_Rarely"/>
    <n v="1169"/>
    <x v="2"/>
    <n v="8"/>
    <n v="2"/>
    <s v="Medical"/>
    <n v="1"/>
    <n v="869"/>
    <n v="2"/>
    <x v="1"/>
    <n v="63"/>
    <n v="2"/>
    <n v="1"/>
    <s v="Human Resources"/>
    <n v="4"/>
    <s v="Divorced"/>
    <x v="4"/>
    <n v="4936"/>
    <n v="23965"/>
    <n v="1"/>
    <s v="Yes"/>
    <s v="No"/>
    <n v="13"/>
    <x v="0"/>
    <n v="4"/>
    <n v="80"/>
    <n v="1"/>
    <n v="6"/>
    <n v="6"/>
    <n v="3"/>
    <n v="5"/>
    <n v="1"/>
    <x v="0"/>
    <n v="4"/>
  </r>
  <r>
    <n v="22"/>
    <x v="1"/>
    <s v="Travel_Rarely"/>
    <n v="1230"/>
    <x v="1"/>
    <n v="1"/>
    <n v="2"/>
    <s v="Life Sciences"/>
    <n v="1"/>
    <n v="872"/>
    <n v="4"/>
    <x v="1"/>
    <n v="33"/>
    <n v="2"/>
    <n v="2"/>
    <s v="Manufacturing Director"/>
    <n v="4"/>
    <s v="Married"/>
    <x v="4"/>
    <n v="4775"/>
    <n v="19146"/>
    <n v="6"/>
    <s v="Yes"/>
    <s v="No"/>
    <n v="22"/>
    <x v="1"/>
    <n v="1"/>
    <n v="80"/>
    <n v="2"/>
    <n v="4"/>
    <n v="2"/>
    <n v="1"/>
    <n v="2"/>
    <n v="2"/>
    <x v="3"/>
    <n v="2"/>
  </r>
  <r>
    <n v="44"/>
    <x v="1"/>
    <s v="Travel_Rarely"/>
    <n v="986"/>
    <x v="1"/>
    <n v="8"/>
    <n v="4"/>
    <s v="Life Sciences"/>
    <n v="1"/>
    <n v="874"/>
    <n v="1"/>
    <x v="1"/>
    <n v="62"/>
    <n v="4"/>
    <n v="1"/>
    <s v="Laboratory Technician"/>
    <n v="4"/>
    <s v="Married"/>
    <x v="1"/>
    <n v="2818"/>
    <n v="5044"/>
    <n v="2"/>
    <s v="Yes"/>
    <s v="Yes"/>
    <n v="24"/>
    <x v="1"/>
    <n v="3"/>
    <n v="80"/>
    <n v="1"/>
    <n v="10"/>
    <n v="2"/>
    <n v="2"/>
    <n v="3"/>
    <n v="2"/>
    <x v="0"/>
    <n v="2"/>
  </r>
  <r>
    <n v="42"/>
    <x v="1"/>
    <s v="Travel_Frequently"/>
    <n v="1271"/>
    <x v="1"/>
    <n v="2"/>
    <n v="1"/>
    <s v="Medical"/>
    <n v="1"/>
    <n v="875"/>
    <n v="2"/>
    <x v="1"/>
    <n v="35"/>
    <n v="3"/>
    <n v="1"/>
    <s v="Research Scientist"/>
    <n v="4"/>
    <s v="Single"/>
    <x v="1"/>
    <n v="2515"/>
    <n v="9068"/>
    <n v="5"/>
    <s v="Yes"/>
    <s v="Yes"/>
    <n v="14"/>
    <x v="0"/>
    <n v="4"/>
    <n v="80"/>
    <n v="0"/>
    <n v="8"/>
    <n v="2"/>
    <n v="3"/>
    <n v="2"/>
    <n v="1"/>
    <x v="3"/>
    <n v="2"/>
  </r>
  <r>
    <n v="36"/>
    <x v="1"/>
    <s v="Travel_Rarely"/>
    <n v="1278"/>
    <x v="2"/>
    <n v="8"/>
    <n v="3"/>
    <s v="Life Sciences"/>
    <n v="1"/>
    <n v="878"/>
    <n v="1"/>
    <x v="1"/>
    <n v="77"/>
    <n v="2"/>
    <n v="1"/>
    <s v="Human Resources"/>
    <n v="1"/>
    <s v="Married"/>
    <x v="1"/>
    <n v="2342"/>
    <n v="8635"/>
    <n v="0"/>
    <s v="Yes"/>
    <s v="No"/>
    <n v="21"/>
    <x v="1"/>
    <n v="3"/>
    <n v="80"/>
    <n v="0"/>
    <n v="6"/>
    <n v="3"/>
    <n v="3"/>
    <n v="5"/>
    <n v="4"/>
    <x v="0"/>
    <n v="3"/>
  </r>
  <r>
    <n v="25"/>
    <x v="1"/>
    <s v="Travel_Rarely"/>
    <n v="141"/>
    <x v="0"/>
    <n v="3"/>
    <n v="1"/>
    <s v="Other"/>
    <n v="1"/>
    <n v="879"/>
    <n v="3"/>
    <x v="1"/>
    <n v="98"/>
    <n v="3"/>
    <n v="2"/>
    <s v="Sales Executive"/>
    <n v="1"/>
    <s v="Married"/>
    <x v="4"/>
    <n v="4194"/>
    <n v="14363"/>
    <n v="1"/>
    <s v="Yes"/>
    <s v="Yes"/>
    <n v="18"/>
    <x v="0"/>
    <n v="4"/>
    <n v="80"/>
    <n v="0"/>
    <n v="5"/>
    <n v="3"/>
    <n v="3"/>
    <n v="5"/>
    <n v="3"/>
    <x v="0"/>
    <n v="3"/>
  </r>
  <r>
    <n v="35"/>
    <x v="1"/>
    <s v="Travel_Rarely"/>
    <n v="607"/>
    <x v="1"/>
    <n v="9"/>
    <n v="3"/>
    <s v="Life Sciences"/>
    <n v="1"/>
    <n v="880"/>
    <n v="4"/>
    <x v="0"/>
    <n v="66"/>
    <n v="2"/>
    <n v="3"/>
    <s v="Manufacturing Director"/>
    <n v="3"/>
    <s v="Married"/>
    <x v="10"/>
    <n v="10685"/>
    <n v="23457"/>
    <n v="1"/>
    <s v="Yes"/>
    <s v="Yes"/>
    <n v="20"/>
    <x v="1"/>
    <n v="2"/>
    <n v="80"/>
    <n v="1"/>
    <n v="17"/>
    <n v="2"/>
    <n v="3"/>
    <n v="17"/>
    <n v="14"/>
    <x v="8"/>
    <n v="15"/>
  </r>
  <r>
    <n v="35"/>
    <x v="0"/>
    <s v="Travel_Frequently"/>
    <n v="130"/>
    <x v="1"/>
    <n v="25"/>
    <n v="4"/>
    <s v="Life Sciences"/>
    <n v="1"/>
    <n v="881"/>
    <n v="4"/>
    <x v="0"/>
    <n v="96"/>
    <n v="3"/>
    <n v="1"/>
    <s v="Research Scientist"/>
    <n v="2"/>
    <s v="Divorced"/>
    <x v="1"/>
    <n v="2022"/>
    <n v="16612"/>
    <n v="1"/>
    <s v="Yes"/>
    <s v="Yes"/>
    <n v="19"/>
    <x v="0"/>
    <n v="1"/>
    <n v="80"/>
    <n v="1"/>
    <n v="10"/>
    <n v="3"/>
    <n v="2"/>
    <n v="10"/>
    <n v="2"/>
    <x v="4"/>
    <n v="8"/>
  </r>
  <r>
    <n v="32"/>
    <x v="1"/>
    <s v="Non-Travel"/>
    <n v="300"/>
    <x v="1"/>
    <n v="1"/>
    <n v="3"/>
    <s v="Life Sciences"/>
    <n v="1"/>
    <n v="882"/>
    <n v="4"/>
    <x v="1"/>
    <n v="61"/>
    <n v="3"/>
    <n v="1"/>
    <s v="Laboratory Technician"/>
    <n v="4"/>
    <s v="Divorced"/>
    <x v="1"/>
    <n v="2314"/>
    <n v="9148"/>
    <n v="0"/>
    <s v="Yes"/>
    <s v="No"/>
    <n v="12"/>
    <x v="0"/>
    <n v="2"/>
    <n v="80"/>
    <n v="1"/>
    <n v="4"/>
    <n v="2"/>
    <n v="3"/>
    <n v="3"/>
    <n v="0"/>
    <x v="0"/>
    <n v="2"/>
  </r>
  <r>
    <n v="25"/>
    <x v="1"/>
    <s v="Travel_Rarely"/>
    <n v="583"/>
    <x v="0"/>
    <n v="4"/>
    <n v="1"/>
    <s v="Marketing"/>
    <n v="1"/>
    <n v="885"/>
    <n v="3"/>
    <x v="1"/>
    <n v="87"/>
    <n v="2"/>
    <n v="2"/>
    <s v="Sales Executive"/>
    <n v="1"/>
    <s v="Married"/>
    <x v="4"/>
    <n v="4256"/>
    <n v="18154"/>
    <n v="1"/>
    <s v="Yes"/>
    <s v="No"/>
    <n v="12"/>
    <x v="0"/>
    <n v="1"/>
    <n v="80"/>
    <n v="0"/>
    <n v="5"/>
    <n v="1"/>
    <n v="4"/>
    <n v="5"/>
    <n v="2"/>
    <x v="0"/>
    <n v="3"/>
  </r>
  <r>
    <n v="49"/>
    <x v="1"/>
    <s v="Travel_Rarely"/>
    <n v="1418"/>
    <x v="1"/>
    <n v="1"/>
    <n v="3"/>
    <s v="Technical Degree"/>
    <n v="1"/>
    <n v="887"/>
    <n v="3"/>
    <x v="0"/>
    <n v="36"/>
    <n v="3"/>
    <n v="1"/>
    <s v="Research Scientist"/>
    <n v="1"/>
    <s v="Married"/>
    <x v="2"/>
    <n v="3580"/>
    <n v="10554"/>
    <n v="2"/>
    <s v="Yes"/>
    <s v="No"/>
    <n v="16"/>
    <x v="0"/>
    <n v="2"/>
    <n v="80"/>
    <n v="1"/>
    <n v="7"/>
    <n v="2"/>
    <n v="3"/>
    <n v="4"/>
    <n v="2"/>
    <x v="0"/>
    <n v="2"/>
  </r>
  <r>
    <n v="24"/>
    <x v="1"/>
    <s v="Non-Travel"/>
    <n v="1269"/>
    <x v="1"/>
    <n v="4"/>
    <n v="1"/>
    <s v="Life Sciences"/>
    <n v="1"/>
    <n v="888"/>
    <n v="1"/>
    <x v="1"/>
    <n v="46"/>
    <n v="2"/>
    <n v="1"/>
    <s v="Laboratory Technician"/>
    <n v="4"/>
    <s v="Married"/>
    <x v="2"/>
    <n v="3162"/>
    <n v="10778"/>
    <n v="0"/>
    <s v="Yes"/>
    <s v="No"/>
    <n v="17"/>
    <x v="0"/>
    <n v="4"/>
    <n v="80"/>
    <n v="0"/>
    <n v="6"/>
    <n v="2"/>
    <n v="2"/>
    <n v="5"/>
    <n v="2"/>
    <x v="2"/>
    <n v="4"/>
  </r>
  <r>
    <n v="32"/>
    <x v="1"/>
    <s v="Travel_Frequently"/>
    <n v="379"/>
    <x v="0"/>
    <n v="5"/>
    <n v="2"/>
    <s v="Life Sciences"/>
    <n v="1"/>
    <n v="889"/>
    <n v="2"/>
    <x v="1"/>
    <n v="48"/>
    <n v="3"/>
    <n v="2"/>
    <s v="Sales Executive"/>
    <n v="2"/>
    <s v="Married"/>
    <x v="9"/>
    <n v="6524"/>
    <n v="8891"/>
    <n v="1"/>
    <s v="Yes"/>
    <s v="No"/>
    <n v="14"/>
    <x v="0"/>
    <n v="4"/>
    <n v="80"/>
    <n v="1"/>
    <n v="10"/>
    <n v="3"/>
    <n v="3"/>
    <n v="10"/>
    <n v="8"/>
    <x v="8"/>
    <n v="3"/>
  </r>
  <r>
    <n v="38"/>
    <x v="1"/>
    <s v="Travel_Rarely"/>
    <n v="395"/>
    <x v="0"/>
    <n v="9"/>
    <n v="3"/>
    <s v="Marketing"/>
    <n v="1"/>
    <n v="893"/>
    <n v="2"/>
    <x v="1"/>
    <n v="98"/>
    <n v="2"/>
    <n v="1"/>
    <s v="Sales Representative"/>
    <n v="2"/>
    <s v="Married"/>
    <x v="1"/>
    <n v="2899"/>
    <n v="12102"/>
    <n v="0"/>
    <s v="Yes"/>
    <s v="No"/>
    <n v="19"/>
    <x v="0"/>
    <n v="4"/>
    <n v="80"/>
    <n v="1"/>
    <n v="3"/>
    <n v="3"/>
    <n v="3"/>
    <n v="2"/>
    <n v="2"/>
    <x v="1"/>
    <n v="2"/>
  </r>
  <r>
    <n v="42"/>
    <x v="1"/>
    <s v="Travel_Rarely"/>
    <n v="1265"/>
    <x v="1"/>
    <n v="3"/>
    <n v="3"/>
    <s v="Life Sciences"/>
    <n v="1"/>
    <n v="894"/>
    <n v="3"/>
    <x v="0"/>
    <n v="95"/>
    <n v="4"/>
    <n v="2"/>
    <s v="Laboratory Technician"/>
    <n v="4"/>
    <s v="Married"/>
    <x v="0"/>
    <n v="5231"/>
    <n v="23726"/>
    <n v="2"/>
    <s v="Yes"/>
    <s v="Yes"/>
    <n v="13"/>
    <x v="0"/>
    <n v="2"/>
    <n v="80"/>
    <n v="1"/>
    <n v="17"/>
    <n v="1"/>
    <n v="2"/>
    <n v="5"/>
    <n v="3"/>
    <x v="1"/>
    <n v="3"/>
  </r>
  <r>
    <n v="31"/>
    <x v="1"/>
    <s v="Travel_Rarely"/>
    <n v="1222"/>
    <x v="1"/>
    <n v="11"/>
    <n v="4"/>
    <s v="Life Sciences"/>
    <n v="1"/>
    <n v="895"/>
    <n v="4"/>
    <x v="1"/>
    <n v="48"/>
    <n v="3"/>
    <n v="1"/>
    <s v="Research Scientist"/>
    <n v="4"/>
    <s v="Married"/>
    <x v="1"/>
    <n v="2356"/>
    <n v="14871"/>
    <n v="3"/>
    <s v="Yes"/>
    <s v="Yes"/>
    <n v="19"/>
    <x v="0"/>
    <n v="2"/>
    <n v="80"/>
    <n v="1"/>
    <n v="8"/>
    <n v="2"/>
    <n v="3"/>
    <n v="6"/>
    <n v="4"/>
    <x v="0"/>
    <n v="2"/>
  </r>
  <r>
    <n v="29"/>
    <x v="0"/>
    <s v="Travel_Rarely"/>
    <n v="341"/>
    <x v="0"/>
    <n v="1"/>
    <n v="3"/>
    <s v="Medical"/>
    <n v="1"/>
    <n v="896"/>
    <n v="2"/>
    <x v="0"/>
    <n v="48"/>
    <n v="2"/>
    <n v="1"/>
    <s v="Sales Representative"/>
    <n v="3"/>
    <s v="Divorced"/>
    <x v="1"/>
    <n v="2800"/>
    <n v="23522"/>
    <n v="6"/>
    <s v="Yes"/>
    <s v="Yes"/>
    <n v="19"/>
    <x v="0"/>
    <n v="3"/>
    <n v="80"/>
    <n v="3"/>
    <n v="5"/>
    <n v="3"/>
    <n v="3"/>
    <n v="3"/>
    <n v="2"/>
    <x v="0"/>
    <n v="2"/>
  </r>
  <r>
    <n v="53"/>
    <x v="1"/>
    <s v="Travel_Rarely"/>
    <n v="868"/>
    <x v="0"/>
    <n v="8"/>
    <n v="3"/>
    <s v="Marketing"/>
    <n v="1"/>
    <n v="897"/>
    <n v="1"/>
    <x v="1"/>
    <n v="73"/>
    <n v="3"/>
    <n v="4"/>
    <s v="Sales Executive"/>
    <n v="4"/>
    <s v="Married"/>
    <x v="6"/>
    <n v="11836"/>
    <n v="22789"/>
    <n v="5"/>
    <s v="Yes"/>
    <s v="No"/>
    <n v="14"/>
    <x v="0"/>
    <n v="3"/>
    <n v="80"/>
    <n v="1"/>
    <n v="28"/>
    <n v="3"/>
    <n v="3"/>
    <n v="2"/>
    <n v="0"/>
    <x v="3"/>
    <n v="2"/>
  </r>
  <r>
    <n v="35"/>
    <x v="1"/>
    <s v="Travel_Rarely"/>
    <n v="672"/>
    <x v="1"/>
    <n v="25"/>
    <n v="3"/>
    <s v="Technical Degree"/>
    <n v="1"/>
    <n v="899"/>
    <n v="4"/>
    <x v="1"/>
    <n v="78"/>
    <n v="2"/>
    <n v="3"/>
    <s v="Manufacturing Director"/>
    <n v="2"/>
    <s v="Married"/>
    <x v="10"/>
    <n v="10903"/>
    <n v="9129"/>
    <n v="3"/>
    <s v="Yes"/>
    <s v="No"/>
    <n v="16"/>
    <x v="0"/>
    <n v="1"/>
    <n v="80"/>
    <n v="0"/>
    <n v="16"/>
    <n v="2"/>
    <n v="3"/>
    <n v="13"/>
    <n v="10"/>
    <x v="5"/>
    <n v="8"/>
  </r>
  <r>
    <n v="37"/>
    <x v="1"/>
    <s v="Travel_Frequently"/>
    <n v="1231"/>
    <x v="0"/>
    <n v="21"/>
    <n v="2"/>
    <s v="Medical"/>
    <n v="1"/>
    <n v="900"/>
    <n v="3"/>
    <x v="0"/>
    <n v="54"/>
    <n v="3"/>
    <n v="1"/>
    <s v="Sales Representative"/>
    <n v="4"/>
    <s v="Married"/>
    <x v="1"/>
    <n v="2973"/>
    <n v="21222"/>
    <n v="5"/>
    <s v="Yes"/>
    <s v="No"/>
    <n v="15"/>
    <x v="0"/>
    <n v="2"/>
    <n v="80"/>
    <n v="1"/>
    <n v="10"/>
    <n v="3"/>
    <n v="3"/>
    <n v="5"/>
    <n v="4"/>
    <x v="0"/>
    <n v="0"/>
  </r>
  <r>
    <n v="53"/>
    <x v="1"/>
    <s v="Travel_Rarely"/>
    <n v="102"/>
    <x v="1"/>
    <n v="23"/>
    <n v="4"/>
    <s v="Life Sciences"/>
    <n v="1"/>
    <n v="901"/>
    <n v="4"/>
    <x v="0"/>
    <n v="72"/>
    <n v="3"/>
    <n v="4"/>
    <s v="Research Director"/>
    <n v="4"/>
    <s v="Single"/>
    <x v="15"/>
    <n v="14275"/>
    <n v="20206"/>
    <n v="6"/>
    <s v="Yes"/>
    <s v="No"/>
    <n v="18"/>
    <x v="0"/>
    <n v="3"/>
    <n v="80"/>
    <n v="0"/>
    <n v="33"/>
    <n v="0"/>
    <n v="3"/>
    <n v="12"/>
    <n v="9"/>
    <x v="2"/>
    <n v="8"/>
  </r>
  <r>
    <n v="43"/>
    <x v="1"/>
    <s v="Travel_Frequently"/>
    <n v="422"/>
    <x v="1"/>
    <n v="1"/>
    <n v="3"/>
    <s v="Life Sciences"/>
    <n v="1"/>
    <n v="902"/>
    <n v="4"/>
    <x v="0"/>
    <n v="33"/>
    <n v="3"/>
    <n v="2"/>
    <s v="Healthcare Representative"/>
    <n v="4"/>
    <s v="Married"/>
    <x v="0"/>
    <n v="5562"/>
    <n v="21782"/>
    <n v="4"/>
    <s v="Yes"/>
    <s v="No"/>
    <n v="13"/>
    <x v="0"/>
    <n v="2"/>
    <n v="80"/>
    <n v="1"/>
    <n v="12"/>
    <n v="2"/>
    <n v="2"/>
    <n v="5"/>
    <n v="2"/>
    <x v="3"/>
    <n v="2"/>
  </r>
  <r>
    <n v="47"/>
    <x v="1"/>
    <s v="Travel_Rarely"/>
    <n v="249"/>
    <x v="0"/>
    <n v="2"/>
    <n v="2"/>
    <s v="Marketing"/>
    <n v="1"/>
    <n v="903"/>
    <n v="3"/>
    <x v="0"/>
    <n v="35"/>
    <n v="3"/>
    <n v="2"/>
    <s v="Sales Executive"/>
    <n v="4"/>
    <s v="Married"/>
    <x v="4"/>
    <n v="4537"/>
    <n v="17783"/>
    <n v="0"/>
    <s v="Yes"/>
    <s v="Yes"/>
    <n v="22"/>
    <x v="1"/>
    <n v="1"/>
    <n v="80"/>
    <n v="1"/>
    <n v="8"/>
    <n v="2"/>
    <n v="3"/>
    <n v="7"/>
    <n v="6"/>
    <x v="4"/>
    <n v="7"/>
  </r>
  <r>
    <n v="37"/>
    <x v="1"/>
    <s v="Non-Travel"/>
    <n v="1252"/>
    <x v="0"/>
    <n v="19"/>
    <n v="2"/>
    <s v="Medical"/>
    <n v="1"/>
    <n v="904"/>
    <n v="1"/>
    <x v="1"/>
    <n v="32"/>
    <n v="3"/>
    <n v="3"/>
    <s v="Sales Executive"/>
    <n v="2"/>
    <s v="Single"/>
    <x v="14"/>
    <n v="7642"/>
    <n v="4814"/>
    <n v="1"/>
    <s v="Yes"/>
    <s v="Yes"/>
    <n v="13"/>
    <x v="0"/>
    <n v="4"/>
    <n v="80"/>
    <n v="0"/>
    <n v="10"/>
    <n v="2"/>
    <n v="3"/>
    <n v="10"/>
    <n v="0"/>
    <x v="0"/>
    <n v="9"/>
  </r>
  <r>
    <n v="50"/>
    <x v="1"/>
    <s v="Non-Travel"/>
    <n v="881"/>
    <x v="1"/>
    <n v="2"/>
    <n v="4"/>
    <s v="Life Sciences"/>
    <n v="1"/>
    <n v="905"/>
    <n v="1"/>
    <x v="1"/>
    <n v="98"/>
    <n v="3"/>
    <n v="4"/>
    <s v="Manager"/>
    <n v="1"/>
    <s v="Divorced"/>
    <x v="16"/>
    <n v="17924"/>
    <n v="4544"/>
    <n v="1"/>
    <s v="Yes"/>
    <s v="No"/>
    <n v="11"/>
    <x v="0"/>
    <n v="4"/>
    <n v="80"/>
    <n v="1"/>
    <n v="31"/>
    <n v="3"/>
    <n v="3"/>
    <n v="31"/>
    <n v="6"/>
    <x v="15"/>
    <n v="7"/>
  </r>
  <r>
    <n v="39"/>
    <x v="1"/>
    <s v="Travel_Rarely"/>
    <n v="1383"/>
    <x v="2"/>
    <n v="2"/>
    <n v="3"/>
    <s v="Life Sciences"/>
    <n v="1"/>
    <n v="909"/>
    <n v="4"/>
    <x v="0"/>
    <n v="42"/>
    <n v="2"/>
    <n v="2"/>
    <s v="Human Resources"/>
    <n v="4"/>
    <s v="Married"/>
    <x v="0"/>
    <n v="5204"/>
    <n v="7790"/>
    <n v="8"/>
    <s v="Yes"/>
    <s v="No"/>
    <n v="11"/>
    <x v="0"/>
    <n v="3"/>
    <n v="80"/>
    <n v="2"/>
    <n v="13"/>
    <n v="2"/>
    <n v="3"/>
    <n v="5"/>
    <n v="4"/>
    <x v="0"/>
    <n v="4"/>
  </r>
  <r>
    <n v="33"/>
    <x v="1"/>
    <s v="Travel_Rarely"/>
    <n v="1075"/>
    <x v="2"/>
    <n v="3"/>
    <n v="2"/>
    <s v="Human Resources"/>
    <n v="1"/>
    <n v="910"/>
    <n v="4"/>
    <x v="1"/>
    <n v="57"/>
    <n v="3"/>
    <n v="1"/>
    <s v="Human Resources"/>
    <n v="2"/>
    <s v="Divorced"/>
    <x v="1"/>
    <n v="2277"/>
    <n v="22650"/>
    <n v="3"/>
    <s v="Yes"/>
    <s v="Yes"/>
    <n v="11"/>
    <x v="0"/>
    <n v="3"/>
    <n v="80"/>
    <n v="1"/>
    <n v="7"/>
    <n v="4"/>
    <n v="4"/>
    <n v="4"/>
    <n v="3"/>
    <x v="0"/>
    <n v="3"/>
  </r>
  <r>
    <n v="32"/>
    <x v="0"/>
    <s v="Travel_Rarely"/>
    <n v="374"/>
    <x v="1"/>
    <n v="25"/>
    <n v="4"/>
    <s v="Life Sciences"/>
    <n v="1"/>
    <n v="911"/>
    <n v="1"/>
    <x v="1"/>
    <n v="87"/>
    <n v="3"/>
    <n v="1"/>
    <s v="Laboratory Technician"/>
    <n v="4"/>
    <s v="Single"/>
    <x v="1"/>
    <n v="2795"/>
    <n v="18016"/>
    <n v="1"/>
    <s v="Yes"/>
    <s v="Yes"/>
    <n v="24"/>
    <x v="1"/>
    <n v="3"/>
    <n v="80"/>
    <n v="0"/>
    <n v="1"/>
    <n v="2"/>
    <n v="1"/>
    <n v="1"/>
    <n v="0"/>
    <x v="0"/>
    <n v="1"/>
  </r>
  <r>
    <n v="29"/>
    <x v="1"/>
    <s v="Travel_Rarely"/>
    <n v="1086"/>
    <x v="1"/>
    <n v="7"/>
    <n v="1"/>
    <s v="Medical"/>
    <n v="1"/>
    <n v="912"/>
    <n v="1"/>
    <x v="0"/>
    <n v="62"/>
    <n v="2"/>
    <n v="1"/>
    <s v="Laboratory Technician"/>
    <n v="4"/>
    <s v="Divorced"/>
    <x v="1"/>
    <n v="2532"/>
    <n v="6054"/>
    <n v="6"/>
    <s v="Yes"/>
    <s v="No"/>
    <n v="14"/>
    <x v="0"/>
    <n v="3"/>
    <n v="80"/>
    <n v="3"/>
    <n v="8"/>
    <n v="5"/>
    <n v="3"/>
    <n v="4"/>
    <n v="3"/>
    <x v="0"/>
    <n v="3"/>
  </r>
  <r>
    <n v="44"/>
    <x v="1"/>
    <s v="Travel_Rarely"/>
    <n v="661"/>
    <x v="1"/>
    <n v="9"/>
    <n v="2"/>
    <s v="Life Sciences"/>
    <n v="1"/>
    <n v="913"/>
    <n v="2"/>
    <x v="1"/>
    <n v="61"/>
    <n v="3"/>
    <n v="1"/>
    <s v="Research Scientist"/>
    <n v="1"/>
    <s v="Married"/>
    <x v="1"/>
    <n v="2559"/>
    <n v="7508"/>
    <n v="1"/>
    <s v="Yes"/>
    <s v="Yes"/>
    <n v="13"/>
    <x v="0"/>
    <n v="4"/>
    <n v="80"/>
    <n v="0"/>
    <n v="8"/>
    <n v="0"/>
    <n v="3"/>
    <n v="8"/>
    <n v="7"/>
    <x v="4"/>
    <n v="1"/>
  </r>
  <r>
    <n v="28"/>
    <x v="1"/>
    <s v="Travel_Rarely"/>
    <n v="821"/>
    <x v="0"/>
    <n v="5"/>
    <n v="4"/>
    <s v="Medical"/>
    <n v="1"/>
    <n v="916"/>
    <n v="1"/>
    <x v="1"/>
    <n v="98"/>
    <n v="3"/>
    <n v="2"/>
    <s v="Sales Executive"/>
    <n v="4"/>
    <s v="Single"/>
    <x v="4"/>
    <n v="4908"/>
    <n v="24252"/>
    <n v="1"/>
    <s v="Yes"/>
    <s v="No"/>
    <n v="14"/>
    <x v="0"/>
    <n v="2"/>
    <n v="80"/>
    <n v="0"/>
    <n v="4"/>
    <n v="3"/>
    <n v="3"/>
    <n v="4"/>
    <n v="2"/>
    <x v="0"/>
    <n v="2"/>
  </r>
  <r>
    <n v="58"/>
    <x v="0"/>
    <s v="Travel_Frequently"/>
    <n v="781"/>
    <x v="1"/>
    <n v="2"/>
    <n v="1"/>
    <s v="Life Sciences"/>
    <n v="1"/>
    <n v="918"/>
    <n v="4"/>
    <x v="1"/>
    <n v="57"/>
    <n v="2"/>
    <n v="1"/>
    <s v="Laboratory Technician"/>
    <n v="4"/>
    <s v="Divorced"/>
    <x v="1"/>
    <n v="2380"/>
    <n v="13384"/>
    <n v="9"/>
    <s v="Yes"/>
    <s v="Yes"/>
    <n v="14"/>
    <x v="0"/>
    <n v="4"/>
    <n v="80"/>
    <n v="1"/>
    <n v="3"/>
    <n v="3"/>
    <n v="2"/>
    <n v="1"/>
    <n v="0"/>
    <x v="0"/>
    <n v="0"/>
  </r>
  <r>
    <n v="43"/>
    <x v="1"/>
    <s v="Travel_Rarely"/>
    <n v="177"/>
    <x v="1"/>
    <n v="8"/>
    <n v="3"/>
    <s v="Life Sciences"/>
    <n v="1"/>
    <n v="920"/>
    <n v="1"/>
    <x v="0"/>
    <n v="55"/>
    <n v="3"/>
    <n v="2"/>
    <s v="Manufacturing Director"/>
    <n v="2"/>
    <s v="Divorced"/>
    <x v="4"/>
    <n v="4765"/>
    <n v="23814"/>
    <n v="4"/>
    <s v="Yes"/>
    <s v="No"/>
    <n v="21"/>
    <x v="1"/>
    <n v="3"/>
    <n v="80"/>
    <n v="1"/>
    <n v="4"/>
    <n v="2"/>
    <n v="4"/>
    <n v="1"/>
    <n v="0"/>
    <x v="0"/>
    <n v="0"/>
  </r>
  <r>
    <n v="20"/>
    <x v="0"/>
    <s v="Travel_Rarely"/>
    <n v="500"/>
    <x v="0"/>
    <n v="2"/>
    <n v="3"/>
    <s v="Medical"/>
    <n v="1"/>
    <n v="922"/>
    <n v="3"/>
    <x v="0"/>
    <n v="49"/>
    <n v="2"/>
    <n v="1"/>
    <s v="Sales Representative"/>
    <n v="3"/>
    <s v="Single"/>
    <x v="1"/>
    <n v="2044"/>
    <n v="22052"/>
    <n v="1"/>
    <s v="Yes"/>
    <s v="No"/>
    <n v="13"/>
    <x v="0"/>
    <n v="4"/>
    <n v="80"/>
    <n v="0"/>
    <n v="2"/>
    <n v="3"/>
    <n v="2"/>
    <n v="2"/>
    <n v="2"/>
    <x v="0"/>
    <n v="2"/>
  </r>
  <r>
    <n v="21"/>
    <x v="0"/>
    <s v="Travel_Rarely"/>
    <n v="1427"/>
    <x v="1"/>
    <n v="18"/>
    <n v="1"/>
    <s v="Other"/>
    <n v="1"/>
    <n v="923"/>
    <n v="4"/>
    <x v="0"/>
    <n v="65"/>
    <n v="3"/>
    <n v="1"/>
    <s v="Research Scientist"/>
    <n v="4"/>
    <s v="Single"/>
    <x v="1"/>
    <n v="2693"/>
    <n v="8870"/>
    <n v="1"/>
    <s v="Yes"/>
    <s v="No"/>
    <n v="19"/>
    <x v="0"/>
    <n v="1"/>
    <n v="80"/>
    <n v="0"/>
    <n v="1"/>
    <n v="3"/>
    <n v="2"/>
    <n v="1"/>
    <n v="0"/>
    <x v="0"/>
    <n v="0"/>
  </r>
  <r>
    <n v="36"/>
    <x v="1"/>
    <s v="Travel_Rarely"/>
    <n v="1425"/>
    <x v="1"/>
    <n v="14"/>
    <n v="1"/>
    <s v="Life Sciences"/>
    <n v="1"/>
    <n v="924"/>
    <n v="3"/>
    <x v="1"/>
    <n v="68"/>
    <n v="3"/>
    <n v="2"/>
    <s v="Healthcare Representative"/>
    <n v="4"/>
    <s v="Married"/>
    <x v="9"/>
    <n v="6586"/>
    <n v="4821"/>
    <n v="0"/>
    <s v="Yes"/>
    <s v="Yes"/>
    <n v="17"/>
    <x v="0"/>
    <n v="1"/>
    <n v="80"/>
    <n v="1"/>
    <n v="17"/>
    <n v="2"/>
    <n v="2"/>
    <n v="16"/>
    <n v="8"/>
    <x v="5"/>
    <n v="11"/>
  </r>
  <r>
    <n v="47"/>
    <x v="1"/>
    <s v="Travel_Rarely"/>
    <n v="1454"/>
    <x v="0"/>
    <n v="2"/>
    <n v="4"/>
    <s v="Life Sciences"/>
    <n v="1"/>
    <n v="925"/>
    <n v="4"/>
    <x v="0"/>
    <n v="65"/>
    <n v="2"/>
    <n v="1"/>
    <s v="Sales Representative"/>
    <n v="4"/>
    <s v="Single"/>
    <x v="2"/>
    <n v="3294"/>
    <n v="13137"/>
    <n v="1"/>
    <s v="Yes"/>
    <s v="Yes"/>
    <n v="18"/>
    <x v="0"/>
    <n v="1"/>
    <n v="80"/>
    <n v="0"/>
    <n v="3"/>
    <n v="3"/>
    <n v="2"/>
    <n v="3"/>
    <n v="2"/>
    <x v="1"/>
    <n v="2"/>
  </r>
  <r>
    <n v="22"/>
    <x v="0"/>
    <s v="Travel_Rarely"/>
    <n v="617"/>
    <x v="1"/>
    <n v="3"/>
    <n v="1"/>
    <s v="Life Sciences"/>
    <n v="1"/>
    <n v="926"/>
    <n v="2"/>
    <x v="0"/>
    <n v="34"/>
    <n v="3"/>
    <n v="2"/>
    <s v="Manufacturing Director"/>
    <n v="3"/>
    <s v="Married"/>
    <x v="4"/>
    <n v="4171"/>
    <n v="10022"/>
    <n v="0"/>
    <s v="Yes"/>
    <s v="Yes"/>
    <n v="19"/>
    <x v="0"/>
    <n v="1"/>
    <n v="80"/>
    <n v="1"/>
    <n v="4"/>
    <n v="3"/>
    <n v="4"/>
    <n v="3"/>
    <n v="2"/>
    <x v="0"/>
    <n v="2"/>
  </r>
  <r>
    <n v="41"/>
    <x v="0"/>
    <s v="Travel_Rarely"/>
    <n v="1085"/>
    <x v="1"/>
    <n v="2"/>
    <n v="4"/>
    <s v="Life Sciences"/>
    <n v="1"/>
    <n v="927"/>
    <n v="2"/>
    <x v="0"/>
    <n v="57"/>
    <n v="1"/>
    <n v="1"/>
    <s v="Laboratory Technician"/>
    <n v="4"/>
    <s v="Divorced"/>
    <x v="1"/>
    <n v="2778"/>
    <n v="17725"/>
    <n v="4"/>
    <s v="Yes"/>
    <s v="Yes"/>
    <n v="13"/>
    <x v="0"/>
    <n v="3"/>
    <n v="80"/>
    <n v="1"/>
    <n v="10"/>
    <n v="1"/>
    <n v="2"/>
    <n v="7"/>
    <n v="7"/>
    <x v="1"/>
    <n v="0"/>
  </r>
  <r>
    <n v="28"/>
    <x v="1"/>
    <s v="Travel_Rarely"/>
    <n v="995"/>
    <x v="1"/>
    <n v="9"/>
    <n v="3"/>
    <s v="Medical"/>
    <n v="1"/>
    <n v="930"/>
    <n v="3"/>
    <x v="0"/>
    <n v="77"/>
    <n v="3"/>
    <n v="1"/>
    <s v="Research Scientist"/>
    <n v="3"/>
    <s v="Divorced"/>
    <x v="1"/>
    <n v="2377"/>
    <n v="9834"/>
    <n v="5"/>
    <s v="Yes"/>
    <s v="No"/>
    <n v="18"/>
    <x v="0"/>
    <n v="2"/>
    <n v="80"/>
    <n v="1"/>
    <n v="6"/>
    <n v="2"/>
    <n v="3"/>
    <n v="2"/>
    <n v="2"/>
    <x v="3"/>
    <n v="2"/>
  </r>
  <r>
    <n v="39"/>
    <x v="0"/>
    <s v="Travel_Rarely"/>
    <n v="1122"/>
    <x v="1"/>
    <n v="6"/>
    <n v="3"/>
    <s v="Medical"/>
    <n v="1"/>
    <n v="932"/>
    <n v="4"/>
    <x v="1"/>
    <n v="70"/>
    <n v="3"/>
    <n v="1"/>
    <s v="Laboratory Technician"/>
    <n v="1"/>
    <s v="Married"/>
    <x v="1"/>
    <n v="2404"/>
    <n v="4303"/>
    <n v="7"/>
    <s v="Yes"/>
    <s v="Yes"/>
    <n v="21"/>
    <x v="1"/>
    <n v="4"/>
    <n v="80"/>
    <n v="0"/>
    <n v="8"/>
    <n v="2"/>
    <n v="1"/>
    <n v="2"/>
    <n v="2"/>
    <x v="3"/>
    <n v="2"/>
  </r>
  <r>
    <n v="27"/>
    <x v="1"/>
    <s v="Travel_Rarely"/>
    <n v="618"/>
    <x v="1"/>
    <n v="4"/>
    <n v="3"/>
    <s v="Life Sciences"/>
    <n v="1"/>
    <n v="933"/>
    <n v="2"/>
    <x v="0"/>
    <n v="76"/>
    <n v="3"/>
    <n v="1"/>
    <s v="Research Scientist"/>
    <n v="3"/>
    <s v="Single"/>
    <x v="1"/>
    <n v="2318"/>
    <n v="17808"/>
    <n v="1"/>
    <s v="Yes"/>
    <s v="No"/>
    <n v="19"/>
    <x v="0"/>
    <n v="3"/>
    <n v="80"/>
    <n v="0"/>
    <n v="1"/>
    <n v="2"/>
    <n v="3"/>
    <n v="1"/>
    <n v="1"/>
    <x v="0"/>
    <n v="0"/>
  </r>
  <r>
    <n v="34"/>
    <x v="1"/>
    <s v="Travel_Rarely"/>
    <n v="546"/>
    <x v="1"/>
    <n v="10"/>
    <n v="3"/>
    <s v="Life Sciences"/>
    <n v="1"/>
    <n v="934"/>
    <n v="2"/>
    <x v="1"/>
    <n v="83"/>
    <n v="3"/>
    <n v="1"/>
    <s v="Laboratory Technician"/>
    <n v="2"/>
    <s v="Divorced"/>
    <x v="1"/>
    <n v="2008"/>
    <n v="6896"/>
    <n v="1"/>
    <s v="Yes"/>
    <s v="No"/>
    <n v="14"/>
    <x v="0"/>
    <n v="2"/>
    <n v="80"/>
    <n v="2"/>
    <n v="1"/>
    <n v="3"/>
    <n v="3"/>
    <n v="1"/>
    <n v="0"/>
    <x v="1"/>
    <n v="0"/>
  </r>
  <r>
    <n v="42"/>
    <x v="1"/>
    <s v="Travel_Rarely"/>
    <n v="462"/>
    <x v="0"/>
    <n v="14"/>
    <n v="2"/>
    <s v="Medical"/>
    <n v="1"/>
    <n v="936"/>
    <n v="3"/>
    <x v="0"/>
    <n v="68"/>
    <n v="2"/>
    <n v="2"/>
    <s v="Sales Executive"/>
    <n v="3"/>
    <s v="Single"/>
    <x v="9"/>
    <n v="6244"/>
    <n v="7824"/>
    <n v="7"/>
    <s v="Yes"/>
    <s v="No"/>
    <n v="17"/>
    <x v="0"/>
    <n v="1"/>
    <n v="80"/>
    <n v="0"/>
    <n v="10"/>
    <n v="6"/>
    <n v="3"/>
    <n v="5"/>
    <n v="4"/>
    <x v="0"/>
    <n v="3"/>
  </r>
  <r>
    <n v="33"/>
    <x v="1"/>
    <s v="Travel_Rarely"/>
    <n v="1198"/>
    <x v="1"/>
    <n v="1"/>
    <n v="4"/>
    <s v="Other"/>
    <n v="1"/>
    <n v="939"/>
    <n v="3"/>
    <x v="1"/>
    <n v="100"/>
    <n v="2"/>
    <n v="1"/>
    <s v="Research Scientist"/>
    <n v="1"/>
    <s v="Single"/>
    <x v="1"/>
    <n v="2799"/>
    <n v="3339"/>
    <n v="3"/>
    <s v="Yes"/>
    <s v="Yes"/>
    <n v="11"/>
    <x v="0"/>
    <n v="2"/>
    <n v="80"/>
    <n v="0"/>
    <n v="6"/>
    <n v="1"/>
    <n v="3"/>
    <n v="3"/>
    <n v="2"/>
    <x v="0"/>
    <n v="2"/>
  </r>
  <r>
    <n v="58"/>
    <x v="1"/>
    <s v="Travel_Rarely"/>
    <n v="1272"/>
    <x v="1"/>
    <n v="5"/>
    <n v="3"/>
    <s v="Technical Degree"/>
    <n v="1"/>
    <n v="940"/>
    <n v="3"/>
    <x v="0"/>
    <n v="37"/>
    <n v="2"/>
    <n v="3"/>
    <s v="Healthcare Representative"/>
    <n v="2"/>
    <s v="Divorced"/>
    <x v="10"/>
    <n v="10552"/>
    <n v="9255"/>
    <n v="2"/>
    <s v="Yes"/>
    <s v="Yes"/>
    <n v="13"/>
    <x v="0"/>
    <n v="4"/>
    <n v="80"/>
    <n v="1"/>
    <n v="24"/>
    <n v="3"/>
    <n v="3"/>
    <n v="6"/>
    <n v="0"/>
    <x v="0"/>
    <n v="4"/>
  </r>
  <r>
    <n v="31"/>
    <x v="1"/>
    <s v="Travel_Rarely"/>
    <n v="154"/>
    <x v="0"/>
    <n v="7"/>
    <n v="4"/>
    <s v="Life Sciences"/>
    <n v="1"/>
    <n v="941"/>
    <n v="2"/>
    <x v="1"/>
    <n v="41"/>
    <n v="2"/>
    <n v="1"/>
    <s v="Sales Representative"/>
    <n v="3"/>
    <s v="Married"/>
    <x v="1"/>
    <n v="2329"/>
    <n v="11737"/>
    <n v="3"/>
    <s v="Yes"/>
    <s v="No"/>
    <n v="15"/>
    <x v="0"/>
    <n v="2"/>
    <n v="80"/>
    <n v="0"/>
    <n v="13"/>
    <n v="2"/>
    <n v="4"/>
    <n v="7"/>
    <n v="7"/>
    <x v="8"/>
    <n v="2"/>
  </r>
  <r>
    <n v="35"/>
    <x v="1"/>
    <s v="Travel_Rarely"/>
    <n v="1137"/>
    <x v="1"/>
    <n v="21"/>
    <n v="1"/>
    <s v="Life Sciences"/>
    <n v="1"/>
    <n v="942"/>
    <n v="4"/>
    <x v="0"/>
    <n v="51"/>
    <n v="3"/>
    <n v="2"/>
    <s v="Healthcare Representative"/>
    <n v="4"/>
    <s v="Married"/>
    <x v="4"/>
    <n v="4014"/>
    <n v="19170"/>
    <n v="1"/>
    <s v="Yes"/>
    <s v="Yes"/>
    <n v="25"/>
    <x v="1"/>
    <n v="4"/>
    <n v="80"/>
    <n v="1"/>
    <n v="10"/>
    <n v="2"/>
    <n v="1"/>
    <n v="10"/>
    <n v="6"/>
    <x v="0"/>
    <n v="7"/>
  </r>
  <r>
    <n v="49"/>
    <x v="1"/>
    <s v="Travel_Rarely"/>
    <n v="527"/>
    <x v="1"/>
    <n v="8"/>
    <n v="2"/>
    <s v="Other"/>
    <n v="1"/>
    <n v="944"/>
    <n v="1"/>
    <x v="0"/>
    <n v="51"/>
    <n v="3"/>
    <n v="3"/>
    <s v="Laboratory Technician"/>
    <n v="2"/>
    <s v="Married"/>
    <x v="14"/>
    <n v="7403"/>
    <n v="22477"/>
    <n v="4"/>
    <s v="Yes"/>
    <s v="No"/>
    <n v="11"/>
    <x v="0"/>
    <n v="3"/>
    <n v="80"/>
    <n v="1"/>
    <n v="29"/>
    <n v="3"/>
    <n v="2"/>
    <n v="26"/>
    <n v="9"/>
    <x v="1"/>
    <n v="7"/>
  </r>
  <r>
    <n v="48"/>
    <x v="1"/>
    <s v="Travel_Rarely"/>
    <n v="1469"/>
    <x v="1"/>
    <n v="20"/>
    <n v="4"/>
    <s v="Medical"/>
    <n v="1"/>
    <n v="945"/>
    <n v="4"/>
    <x v="1"/>
    <n v="51"/>
    <n v="3"/>
    <n v="1"/>
    <s v="Research Scientist"/>
    <n v="3"/>
    <s v="Married"/>
    <x v="1"/>
    <n v="2259"/>
    <n v="5543"/>
    <n v="4"/>
    <s v="Yes"/>
    <s v="No"/>
    <n v="17"/>
    <x v="0"/>
    <n v="1"/>
    <n v="80"/>
    <n v="2"/>
    <n v="13"/>
    <n v="2"/>
    <n v="2"/>
    <n v="0"/>
    <n v="0"/>
    <x v="0"/>
    <n v="0"/>
  </r>
  <r>
    <n v="31"/>
    <x v="1"/>
    <s v="Non-Travel"/>
    <n v="1188"/>
    <x v="0"/>
    <n v="20"/>
    <n v="2"/>
    <s v="Marketing"/>
    <n v="1"/>
    <n v="947"/>
    <n v="4"/>
    <x v="0"/>
    <n v="45"/>
    <n v="3"/>
    <n v="2"/>
    <s v="Sales Executive"/>
    <n v="3"/>
    <s v="Married"/>
    <x v="9"/>
    <n v="6932"/>
    <n v="24406"/>
    <n v="1"/>
    <s v="Yes"/>
    <s v="No"/>
    <n v="13"/>
    <x v="0"/>
    <n v="4"/>
    <n v="80"/>
    <n v="1"/>
    <n v="9"/>
    <n v="2"/>
    <n v="2"/>
    <n v="9"/>
    <n v="8"/>
    <x v="0"/>
    <n v="0"/>
  </r>
  <r>
    <n v="36"/>
    <x v="1"/>
    <s v="Travel_Rarely"/>
    <n v="188"/>
    <x v="1"/>
    <n v="7"/>
    <n v="4"/>
    <s v="Other"/>
    <n v="1"/>
    <n v="949"/>
    <n v="2"/>
    <x v="1"/>
    <n v="65"/>
    <n v="3"/>
    <n v="1"/>
    <s v="Research Scientist"/>
    <n v="4"/>
    <s v="Single"/>
    <x v="4"/>
    <n v="4678"/>
    <n v="23293"/>
    <n v="2"/>
    <s v="Yes"/>
    <s v="No"/>
    <n v="18"/>
    <x v="0"/>
    <n v="3"/>
    <n v="80"/>
    <n v="0"/>
    <n v="8"/>
    <n v="6"/>
    <n v="3"/>
    <n v="6"/>
    <n v="2"/>
    <x v="0"/>
    <n v="1"/>
  </r>
  <r>
    <n v="38"/>
    <x v="1"/>
    <s v="Travel_Rarely"/>
    <n v="1333"/>
    <x v="1"/>
    <n v="1"/>
    <n v="3"/>
    <s v="Technical Degree"/>
    <n v="1"/>
    <n v="950"/>
    <n v="4"/>
    <x v="0"/>
    <n v="80"/>
    <n v="3"/>
    <n v="3"/>
    <s v="Research Director"/>
    <n v="1"/>
    <s v="Married"/>
    <x v="13"/>
    <n v="13582"/>
    <n v="16292"/>
    <n v="1"/>
    <s v="Yes"/>
    <s v="No"/>
    <n v="13"/>
    <x v="0"/>
    <n v="2"/>
    <n v="80"/>
    <n v="1"/>
    <n v="15"/>
    <n v="3"/>
    <n v="3"/>
    <n v="15"/>
    <n v="12"/>
    <x v="8"/>
    <n v="11"/>
  </r>
  <r>
    <n v="32"/>
    <x v="1"/>
    <s v="Non-Travel"/>
    <n v="1184"/>
    <x v="1"/>
    <n v="1"/>
    <n v="3"/>
    <s v="Life Sciences"/>
    <n v="1"/>
    <n v="951"/>
    <n v="3"/>
    <x v="0"/>
    <n v="70"/>
    <n v="2"/>
    <n v="1"/>
    <s v="Laboratory Technician"/>
    <n v="2"/>
    <s v="Married"/>
    <x v="1"/>
    <n v="2332"/>
    <n v="3974"/>
    <n v="6"/>
    <s v="Yes"/>
    <s v="No"/>
    <n v="20"/>
    <x v="1"/>
    <n v="3"/>
    <n v="80"/>
    <n v="0"/>
    <n v="5"/>
    <n v="3"/>
    <n v="3"/>
    <n v="3"/>
    <n v="0"/>
    <x v="0"/>
    <n v="2"/>
  </r>
  <r>
    <n v="25"/>
    <x v="0"/>
    <s v="Travel_Rarely"/>
    <n v="867"/>
    <x v="0"/>
    <n v="19"/>
    <n v="2"/>
    <s v="Marketing"/>
    <n v="1"/>
    <n v="952"/>
    <n v="3"/>
    <x v="1"/>
    <n v="36"/>
    <n v="2"/>
    <n v="1"/>
    <s v="Sales Representative"/>
    <n v="2"/>
    <s v="Married"/>
    <x v="1"/>
    <n v="2413"/>
    <n v="18798"/>
    <n v="1"/>
    <s v="Yes"/>
    <s v="Yes"/>
    <n v="18"/>
    <x v="0"/>
    <n v="3"/>
    <n v="80"/>
    <n v="3"/>
    <n v="1"/>
    <n v="2"/>
    <n v="3"/>
    <n v="1"/>
    <n v="0"/>
    <x v="0"/>
    <n v="0"/>
  </r>
  <r>
    <n v="40"/>
    <x v="1"/>
    <s v="Travel_Rarely"/>
    <n v="658"/>
    <x v="0"/>
    <n v="10"/>
    <n v="4"/>
    <s v="Marketing"/>
    <n v="1"/>
    <n v="954"/>
    <n v="1"/>
    <x v="1"/>
    <n v="67"/>
    <n v="2"/>
    <n v="3"/>
    <s v="Sales Executive"/>
    <n v="2"/>
    <s v="Divorced"/>
    <x v="3"/>
    <n v="9705"/>
    <n v="20652"/>
    <n v="2"/>
    <s v="Yes"/>
    <s v="No"/>
    <n v="12"/>
    <x v="0"/>
    <n v="2"/>
    <n v="80"/>
    <n v="1"/>
    <n v="11"/>
    <n v="2"/>
    <n v="2"/>
    <n v="1"/>
    <n v="0"/>
    <x v="0"/>
    <n v="0"/>
  </r>
  <r>
    <n v="26"/>
    <x v="1"/>
    <s v="Travel_Frequently"/>
    <n v="1283"/>
    <x v="0"/>
    <n v="1"/>
    <n v="3"/>
    <s v="Medical"/>
    <n v="1"/>
    <n v="956"/>
    <n v="3"/>
    <x v="1"/>
    <n v="52"/>
    <n v="2"/>
    <n v="2"/>
    <s v="Sales Executive"/>
    <n v="1"/>
    <s v="Single"/>
    <x v="4"/>
    <n v="4294"/>
    <n v="11148"/>
    <n v="1"/>
    <s v="Yes"/>
    <s v="No"/>
    <n v="12"/>
    <x v="0"/>
    <n v="2"/>
    <n v="80"/>
    <n v="0"/>
    <n v="7"/>
    <n v="2"/>
    <n v="3"/>
    <n v="7"/>
    <n v="7"/>
    <x v="0"/>
    <n v="7"/>
  </r>
  <r>
    <n v="41"/>
    <x v="1"/>
    <s v="Travel_Rarely"/>
    <n v="263"/>
    <x v="1"/>
    <n v="6"/>
    <n v="3"/>
    <s v="Medical"/>
    <n v="1"/>
    <n v="957"/>
    <n v="4"/>
    <x v="1"/>
    <n v="59"/>
    <n v="3"/>
    <n v="1"/>
    <s v="Laboratory Technician"/>
    <n v="1"/>
    <s v="Single"/>
    <x v="4"/>
    <n v="4721"/>
    <n v="3119"/>
    <n v="2"/>
    <s v="Yes"/>
    <s v="Yes"/>
    <n v="13"/>
    <x v="0"/>
    <n v="3"/>
    <n v="80"/>
    <n v="0"/>
    <n v="20"/>
    <n v="3"/>
    <n v="3"/>
    <n v="18"/>
    <n v="13"/>
    <x v="3"/>
    <n v="17"/>
  </r>
  <r>
    <n v="36"/>
    <x v="1"/>
    <s v="Travel_Rarely"/>
    <n v="938"/>
    <x v="1"/>
    <n v="2"/>
    <n v="4"/>
    <s v="Medical"/>
    <n v="1"/>
    <n v="958"/>
    <n v="3"/>
    <x v="1"/>
    <n v="79"/>
    <n v="3"/>
    <n v="1"/>
    <s v="Laboratory Technician"/>
    <n v="3"/>
    <s v="Single"/>
    <x v="1"/>
    <n v="2519"/>
    <n v="12287"/>
    <n v="4"/>
    <s v="Yes"/>
    <s v="No"/>
    <n v="21"/>
    <x v="1"/>
    <n v="3"/>
    <n v="80"/>
    <n v="0"/>
    <n v="16"/>
    <n v="6"/>
    <n v="3"/>
    <n v="11"/>
    <n v="8"/>
    <x v="2"/>
    <n v="9"/>
  </r>
  <r>
    <n v="19"/>
    <x v="0"/>
    <s v="Travel_Rarely"/>
    <n v="419"/>
    <x v="0"/>
    <n v="21"/>
    <n v="3"/>
    <s v="Other"/>
    <n v="1"/>
    <n v="959"/>
    <n v="4"/>
    <x v="1"/>
    <n v="37"/>
    <n v="2"/>
    <n v="1"/>
    <s v="Sales Representative"/>
    <n v="2"/>
    <s v="Single"/>
    <x v="1"/>
    <n v="2121"/>
    <n v="9947"/>
    <n v="1"/>
    <s v="Yes"/>
    <s v="Yes"/>
    <n v="13"/>
    <x v="0"/>
    <n v="2"/>
    <n v="80"/>
    <n v="0"/>
    <n v="1"/>
    <n v="3"/>
    <n v="4"/>
    <n v="1"/>
    <n v="0"/>
    <x v="0"/>
    <n v="0"/>
  </r>
  <r>
    <n v="20"/>
    <x v="0"/>
    <s v="Travel_Rarely"/>
    <n v="129"/>
    <x v="1"/>
    <n v="4"/>
    <n v="3"/>
    <s v="Technical Degree"/>
    <n v="1"/>
    <n v="960"/>
    <n v="1"/>
    <x v="1"/>
    <n v="84"/>
    <n v="3"/>
    <n v="1"/>
    <s v="Laboratory Technician"/>
    <n v="1"/>
    <s v="Single"/>
    <x v="1"/>
    <n v="2973"/>
    <n v="13008"/>
    <n v="1"/>
    <s v="Yes"/>
    <s v="No"/>
    <n v="19"/>
    <x v="0"/>
    <n v="2"/>
    <n v="80"/>
    <n v="0"/>
    <n v="1"/>
    <n v="2"/>
    <n v="3"/>
    <n v="1"/>
    <n v="0"/>
    <x v="0"/>
    <n v="0"/>
  </r>
  <r>
    <n v="31"/>
    <x v="1"/>
    <s v="Travel_Rarely"/>
    <n v="616"/>
    <x v="1"/>
    <n v="12"/>
    <n v="3"/>
    <s v="Medical"/>
    <n v="1"/>
    <n v="961"/>
    <n v="4"/>
    <x v="0"/>
    <n v="41"/>
    <n v="3"/>
    <n v="2"/>
    <s v="Healthcare Representative"/>
    <n v="4"/>
    <s v="Married"/>
    <x v="0"/>
    <n v="5855"/>
    <n v="17369"/>
    <n v="0"/>
    <s v="Yes"/>
    <s v="Yes"/>
    <n v="11"/>
    <x v="0"/>
    <n v="3"/>
    <n v="80"/>
    <n v="2"/>
    <n v="10"/>
    <n v="2"/>
    <n v="1"/>
    <n v="9"/>
    <n v="7"/>
    <x v="6"/>
    <n v="5"/>
  </r>
  <r>
    <n v="40"/>
    <x v="1"/>
    <s v="Travel_Frequently"/>
    <n v="1469"/>
    <x v="1"/>
    <n v="9"/>
    <n v="4"/>
    <s v="Medical"/>
    <n v="1"/>
    <n v="964"/>
    <n v="4"/>
    <x v="1"/>
    <n v="35"/>
    <n v="3"/>
    <n v="1"/>
    <s v="Research Scientist"/>
    <n v="2"/>
    <s v="Divorced"/>
    <x v="2"/>
    <n v="3617"/>
    <n v="25063"/>
    <n v="8"/>
    <s v="Yes"/>
    <s v="Yes"/>
    <n v="14"/>
    <x v="0"/>
    <n v="4"/>
    <n v="80"/>
    <n v="1"/>
    <n v="3"/>
    <n v="2"/>
    <n v="3"/>
    <n v="1"/>
    <n v="1"/>
    <x v="0"/>
    <n v="0"/>
  </r>
  <r>
    <n v="32"/>
    <x v="1"/>
    <s v="Travel_Rarely"/>
    <n v="498"/>
    <x v="1"/>
    <n v="3"/>
    <n v="4"/>
    <s v="Medical"/>
    <n v="1"/>
    <n v="966"/>
    <n v="3"/>
    <x v="0"/>
    <n v="93"/>
    <n v="3"/>
    <n v="2"/>
    <s v="Manufacturing Director"/>
    <n v="1"/>
    <s v="Married"/>
    <x v="9"/>
    <n v="6725"/>
    <n v="13554"/>
    <n v="1"/>
    <s v="Yes"/>
    <s v="No"/>
    <n v="12"/>
    <x v="0"/>
    <n v="3"/>
    <n v="80"/>
    <n v="1"/>
    <n v="8"/>
    <n v="2"/>
    <n v="4"/>
    <n v="8"/>
    <n v="7"/>
    <x v="7"/>
    <n v="3"/>
  </r>
  <r>
    <n v="36"/>
    <x v="0"/>
    <s v="Travel_Rarely"/>
    <n v="530"/>
    <x v="0"/>
    <n v="3"/>
    <n v="1"/>
    <s v="Life Sciences"/>
    <n v="1"/>
    <n v="967"/>
    <n v="3"/>
    <x v="1"/>
    <n v="51"/>
    <n v="2"/>
    <n v="3"/>
    <s v="Sales Executive"/>
    <n v="4"/>
    <s v="Married"/>
    <x v="10"/>
    <n v="10325"/>
    <n v="5518"/>
    <n v="1"/>
    <s v="Yes"/>
    <s v="Yes"/>
    <n v="11"/>
    <x v="0"/>
    <n v="1"/>
    <n v="80"/>
    <n v="1"/>
    <n v="16"/>
    <n v="6"/>
    <n v="3"/>
    <n v="16"/>
    <n v="7"/>
    <x v="2"/>
    <n v="7"/>
  </r>
  <r>
    <n v="33"/>
    <x v="1"/>
    <s v="Travel_Rarely"/>
    <n v="1069"/>
    <x v="1"/>
    <n v="1"/>
    <n v="3"/>
    <s v="Life Sciences"/>
    <n v="1"/>
    <n v="969"/>
    <n v="2"/>
    <x v="0"/>
    <n v="42"/>
    <n v="2"/>
    <n v="2"/>
    <s v="Healthcare Representative"/>
    <n v="4"/>
    <s v="Single"/>
    <x v="9"/>
    <n v="6949"/>
    <n v="12291"/>
    <n v="0"/>
    <s v="Yes"/>
    <s v="No"/>
    <n v="14"/>
    <x v="0"/>
    <n v="1"/>
    <n v="80"/>
    <n v="0"/>
    <n v="6"/>
    <n v="3"/>
    <n v="3"/>
    <n v="5"/>
    <n v="0"/>
    <x v="1"/>
    <n v="4"/>
  </r>
  <r>
    <n v="37"/>
    <x v="0"/>
    <s v="Travel_Rarely"/>
    <n v="625"/>
    <x v="0"/>
    <n v="1"/>
    <n v="4"/>
    <s v="Life Sciences"/>
    <n v="1"/>
    <n v="970"/>
    <n v="1"/>
    <x v="1"/>
    <n v="46"/>
    <n v="2"/>
    <n v="3"/>
    <s v="Sales Executive"/>
    <n v="3"/>
    <s v="Married"/>
    <x v="10"/>
    <n v="10609"/>
    <n v="14922"/>
    <n v="5"/>
    <s v="Yes"/>
    <s v="No"/>
    <n v="11"/>
    <x v="0"/>
    <n v="3"/>
    <n v="80"/>
    <n v="0"/>
    <n v="17"/>
    <n v="2"/>
    <n v="1"/>
    <n v="14"/>
    <n v="1"/>
    <x v="14"/>
    <n v="7"/>
  </r>
  <r>
    <n v="45"/>
    <x v="1"/>
    <s v="Non-Travel"/>
    <n v="805"/>
    <x v="1"/>
    <n v="4"/>
    <n v="2"/>
    <s v="Life Sciences"/>
    <n v="1"/>
    <n v="972"/>
    <n v="3"/>
    <x v="1"/>
    <n v="57"/>
    <n v="3"/>
    <n v="2"/>
    <s v="Laboratory Technician"/>
    <n v="2"/>
    <s v="Married"/>
    <x v="4"/>
    <n v="4447"/>
    <n v="23163"/>
    <n v="1"/>
    <s v="Yes"/>
    <s v="No"/>
    <n v="12"/>
    <x v="0"/>
    <n v="2"/>
    <n v="80"/>
    <n v="0"/>
    <n v="9"/>
    <n v="5"/>
    <n v="2"/>
    <n v="9"/>
    <n v="7"/>
    <x v="0"/>
    <n v="8"/>
  </r>
  <r>
    <n v="29"/>
    <x v="1"/>
    <s v="Travel_Frequently"/>
    <n v="1404"/>
    <x v="0"/>
    <n v="20"/>
    <n v="3"/>
    <s v="Technical Degree"/>
    <n v="1"/>
    <n v="974"/>
    <n v="3"/>
    <x v="0"/>
    <n v="84"/>
    <n v="3"/>
    <n v="1"/>
    <s v="Sales Representative"/>
    <n v="4"/>
    <s v="Married"/>
    <x v="1"/>
    <n v="2157"/>
    <n v="18203"/>
    <n v="1"/>
    <s v="Yes"/>
    <s v="No"/>
    <n v="15"/>
    <x v="0"/>
    <n v="2"/>
    <n v="80"/>
    <n v="1"/>
    <n v="3"/>
    <n v="5"/>
    <n v="3"/>
    <n v="3"/>
    <n v="1"/>
    <x v="0"/>
    <n v="2"/>
  </r>
  <r>
    <n v="35"/>
    <x v="1"/>
    <s v="Travel_Rarely"/>
    <n v="1219"/>
    <x v="0"/>
    <n v="18"/>
    <n v="3"/>
    <s v="Medical"/>
    <n v="1"/>
    <n v="975"/>
    <n v="3"/>
    <x v="0"/>
    <n v="86"/>
    <n v="3"/>
    <n v="2"/>
    <s v="Sales Executive"/>
    <n v="3"/>
    <s v="Married"/>
    <x v="4"/>
    <n v="4601"/>
    <n v="6179"/>
    <n v="1"/>
    <s v="Yes"/>
    <s v="No"/>
    <n v="16"/>
    <x v="0"/>
    <n v="2"/>
    <n v="80"/>
    <n v="0"/>
    <n v="5"/>
    <n v="3"/>
    <n v="3"/>
    <n v="5"/>
    <n v="2"/>
    <x v="1"/>
    <n v="0"/>
  </r>
  <r>
    <n v="52"/>
    <x v="1"/>
    <s v="Travel_Rarely"/>
    <n v="1053"/>
    <x v="1"/>
    <n v="1"/>
    <n v="2"/>
    <s v="Life Sciences"/>
    <n v="1"/>
    <n v="976"/>
    <n v="4"/>
    <x v="1"/>
    <n v="70"/>
    <n v="3"/>
    <n v="4"/>
    <s v="Manager"/>
    <n v="4"/>
    <s v="Married"/>
    <x v="16"/>
    <n v="17099"/>
    <n v="13829"/>
    <n v="2"/>
    <s v="Yes"/>
    <s v="No"/>
    <n v="15"/>
    <x v="0"/>
    <n v="2"/>
    <n v="80"/>
    <n v="1"/>
    <n v="26"/>
    <n v="2"/>
    <n v="2"/>
    <n v="9"/>
    <n v="8"/>
    <x v="4"/>
    <n v="8"/>
  </r>
  <r>
    <n v="58"/>
    <x v="0"/>
    <s v="Travel_Rarely"/>
    <n v="289"/>
    <x v="1"/>
    <n v="2"/>
    <n v="3"/>
    <s v="Technical Degree"/>
    <n v="1"/>
    <n v="977"/>
    <n v="4"/>
    <x v="1"/>
    <n v="51"/>
    <n v="3"/>
    <n v="1"/>
    <s v="Research Scientist"/>
    <n v="3"/>
    <s v="Single"/>
    <x v="1"/>
    <n v="2479"/>
    <n v="26227"/>
    <n v="4"/>
    <s v="Yes"/>
    <s v="No"/>
    <n v="24"/>
    <x v="1"/>
    <n v="1"/>
    <n v="80"/>
    <n v="0"/>
    <n v="7"/>
    <n v="4"/>
    <n v="3"/>
    <n v="1"/>
    <n v="0"/>
    <x v="0"/>
    <n v="0"/>
  </r>
  <r>
    <n v="53"/>
    <x v="1"/>
    <s v="Travel_Rarely"/>
    <n v="1376"/>
    <x v="0"/>
    <n v="2"/>
    <n v="2"/>
    <s v="Medical"/>
    <n v="1"/>
    <n v="981"/>
    <n v="3"/>
    <x v="1"/>
    <n v="45"/>
    <n v="3"/>
    <n v="4"/>
    <s v="Manager"/>
    <n v="3"/>
    <s v="Divorced"/>
    <x v="15"/>
    <n v="14852"/>
    <n v="13938"/>
    <n v="6"/>
    <s v="Yes"/>
    <s v="No"/>
    <n v="13"/>
    <x v="0"/>
    <n v="3"/>
    <n v="80"/>
    <n v="1"/>
    <n v="22"/>
    <n v="3"/>
    <n v="4"/>
    <n v="17"/>
    <n v="13"/>
    <x v="9"/>
    <n v="2"/>
  </r>
  <r>
    <n v="30"/>
    <x v="1"/>
    <s v="Travel_Rarely"/>
    <n v="231"/>
    <x v="0"/>
    <n v="8"/>
    <n v="2"/>
    <s v="Other"/>
    <n v="1"/>
    <n v="982"/>
    <n v="3"/>
    <x v="1"/>
    <n v="62"/>
    <n v="3"/>
    <n v="3"/>
    <s v="Sales Executive"/>
    <n v="3"/>
    <s v="Divorced"/>
    <x v="14"/>
    <n v="7264"/>
    <n v="9977"/>
    <n v="5"/>
    <s v="Yes"/>
    <s v="No"/>
    <n v="11"/>
    <x v="0"/>
    <n v="1"/>
    <n v="80"/>
    <n v="1"/>
    <n v="10"/>
    <n v="2"/>
    <n v="4"/>
    <n v="8"/>
    <n v="4"/>
    <x v="4"/>
    <n v="7"/>
  </r>
  <r>
    <n v="38"/>
    <x v="1"/>
    <s v="Non-Travel"/>
    <n v="152"/>
    <x v="0"/>
    <n v="10"/>
    <n v="3"/>
    <s v="Technical Degree"/>
    <n v="1"/>
    <n v="983"/>
    <n v="3"/>
    <x v="0"/>
    <n v="85"/>
    <n v="3"/>
    <n v="2"/>
    <s v="Sales Executive"/>
    <n v="4"/>
    <s v="Single"/>
    <x v="0"/>
    <n v="5666"/>
    <n v="19899"/>
    <n v="1"/>
    <s v="Yes"/>
    <s v="Yes"/>
    <n v="13"/>
    <x v="0"/>
    <n v="2"/>
    <n v="80"/>
    <n v="0"/>
    <n v="6"/>
    <n v="1"/>
    <n v="3"/>
    <n v="5"/>
    <n v="3"/>
    <x v="1"/>
    <n v="3"/>
  </r>
  <r>
    <n v="35"/>
    <x v="1"/>
    <s v="Travel_Rarely"/>
    <n v="882"/>
    <x v="0"/>
    <n v="3"/>
    <n v="4"/>
    <s v="Life Sciences"/>
    <n v="1"/>
    <n v="984"/>
    <n v="4"/>
    <x v="1"/>
    <n v="92"/>
    <n v="3"/>
    <n v="3"/>
    <s v="Sales Executive"/>
    <n v="4"/>
    <s v="Divorced"/>
    <x v="14"/>
    <n v="7823"/>
    <n v="6812"/>
    <n v="6"/>
    <s v="Yes"/>
    <s v="No"/>
    <n v="13"/>
    <x v="0"/>
    <n v="2"/>
    <n v="80"/>
    <n v="1"/>
    <n v="12"/>
    <n v="2"/>
    <n v="3"/>
    <n v="10"/>
    <n v="9"/>
    <x v="0"/>
    <n v="8"/>
  </r>
  <r>
    <n v="39"/>
    <x v="1"/>
    <s v="Travel_Rarely"/>
    <n v="903"/>
    <x v="0"/>
    <n v="2"/>
    <n v="5"/>
    <s v="Life Sciences"/>
    <n v="1"/>
    <n v="985"/>
    <n v="1"/>
    <x v="1"/>
    <n v="41"/>
    <n v="4"/>
    <n v="3"/>
    <s v="Sales Executive"/>
    <n v="3"/>
    <s v="Single"/>
    <x v="14"/>
    <n v="7880"/>
    <n v="2560"/>
    <n v="0"/>
    <s v="Yes"/>
    <s v="No"/>
    <n v="18"/>
    <x v="0"/>
    <n v="4"/>
    <n v="80"/>
    <n v="0"/>
    <n v="9"/>
    <n v="3"/>
    <n v="3"/>
    <n v="8"/>
    <n v="7"/>
    <x v="0"/>
    <n v="7"/>
  </r>
  <r>
    <n v="40"/>
    <x v="0"/>
    <s v="Non-Travel"/>
    <n v="1479"/>
    <x v="0"/>
    <n v="24"/>
    <n v="3"/>
    <s v="Life Sciences"/>
    <n v="1"/>
    <n v="986"/>
    <n v="2"/>
    <x v="0"/>
    <n v="100"/>
    <n v="4"/>
    <n v="4"/>
    <s v="Sales Executive"/>
    <n v="2"/>
    <s v="Single"/>
    <x v="13"/>
    <n v="13194"/>
    <n v="17071"/>
    <n v="4"/>
    <s v="Yes"/>
    <s v="Yes"/>
    <n v="16"/>
    <x v="0"/>
    <n v="4"/>
    <n v="80"/>
    <n v="0"/>
    <n v="22"/>
    <n v="2"/>
    <n v="2"/>
    <n v="1"/>
    <n v="0"/>
    <x v="0"/>
    <n v="0"/>
  </r>
  <r>
    <n v="47"/>
    <x v="1"/>
    <s v="Travel_Frequently"/>
    <n v="1379"/>
    <x v="1"/>
    <n v="16"/>
    <n v="4"/>
    <s v="Medical"/>
    <n v="1"/>
    <n v="987"/>
    <n v="3"/>
    <x v="1"/>
    <n v="64"/>
    <n v="4"/>
    <n v="2"/>
    <s v="Manufacturing Director"/>
    <n v="3"/>
    <s v="Divorced"/>
    <x v="0"/>
    <n v="5067"/>
    <n v="6759"/>
    <n v="1"/>
    <s v="Yes"/>
    <s v="Yes"/>
    <n v="19"/>
    <x v="0"/>
    <n v="3"/>
    <n v="80"/>
    <n v="0"/>
    <n v="20"/>
    <n v="3"/>
    <n v="4"/>
    <n v="19"/>
    <n v="10"/>
    <x v="3"/>
    <n v="7"/>
  </r>
  <r>
    <n v="36"/>
    <x v="1"/>
    <s v="Non-Travel"/>
    <n v="1229"/>
    <x v="0"/>
    <n v="8"/>
    <n v="4"/>
    <s v="Technical Degree"/>
    <n v="1"/>
    <n v="990"/>
    <n v="1"/>
    <x v="1"/>
    <n v="84"/>
    <n v="3"/>
    <n v="2"/>
    <s v="Sales Executive"/>
    <n v="4"/>
    <s v="Divorced"/>
    <x v="0"/>
    <n v="5079"/>
    <n v="25952"/>
    <n v="4"/>
    <s v="Yes"/>
    <s v="No"/>
    <n v="13"/>
    <x v="0"/>
    <n v="4"/>
    <n v="80"/>
    <n v="2"/>
    <n v="12"/>
    <n v="3"/>
    <n v="3"/>
    <n v="7"/>
    <n v="7"/>
    <x v="0"/>
    <n v="7"/>
  </r>
  <r>
    <n v="31"/>
    <x v="0"/>
    <s v="Non-Travel"/>
    <n v="335"/>
    <x v="1"/>
    <n v="9"/>
    <n v="2"/>
    <s v="Medical"/>
    <n v="1"/>
    <n v="991"/>
    <n v="3"/>
    <x v="1"/>
    <n v="46"/>
    <n v="2"/>
    <n v="1"/>
    <s v="Research Scientist"/>
    <n v="1"/>
    <s v="Single"/>
    <x v="1"/>
    <n v="2321"/>
    <n v="10322"/>
    <n v="0"/>
    <s v="Yes"/>
    <s v="Yes"/>
    <n v="22"/>
    <x v="1"/>
    <n v="1"/>
    <n v="80"/>
    <n v="0"/>
    <n v="4"/>
    <n v="0"/>
    <n v="3"/>
    <n v="3"/>
    <n v="2"/>
    <x v="1"/>
    <n v="2"/>
  </r>
  <r>
    <n v="33"/>
    <x v="1"/>
    <s v="Non-Travel"/>
    <n v="722"/>
    <x v="0"/>
    <n v="17"/>
    <n v="3"/>
    <s v="Life Sciences"/>
    <n v="1"/>
    <n v="992"/>
    <n v="4"/>
    <x v="1"/>
    <n v="38"/>
    <n v="3"/>
    <n v="4"/>
    <s v="Manager"/>
    <n v="3"/>
    <s v="Single"/>
    <x v="16"/>
    <n v="17444"/>
    <n v="20489"/>
    <n v="1"/>
    <s v="Yes"/>
    <s v="No"/>
    <n v="11"/>
    <x v="0"/>
    <n v="4"/>
    <n v="80"/>
    <n v="0"/>
    <n v="10"/>
    <n v="2"/>
    <n v="3"/>
    <n v="10"/>
    <n v="8"/>
    <x v="7"/>
    <n v="0"/>
  </r>
  <r>
    <n v="29"/>
    <x v="0"/>
    <s v="Travel_Rarely"/>
    <n v="906"/>
    <x v="1"/>
    <n v="10"/>
    <n v="3"/>
    <s v="Life Sciences"/>
    <n v="1"/>
    <n v="994"/>
    <n v="4"/>
    <x v="0"/>
    <n v="92"/>
    <n v="2"/>
    <n v="1"/>
    <s v="Research Scientist"/>
    <n v="1"/>
    <s v="Single"/>
    <x v="1"/>
    <n v="2404"/>
    <n v="11479"/>
    <n v="6"/>
    <s v="Yes"/>
    <s v="Yes"/>
    <n v="20"/>
    <x v="1"/>
    <n v="3"/>
    <n v="80"/>
    <n v="0"/>
    <n v="3"/>
    <n v="5"/>
    <n v="3"/>
    <n v="0"/>
    <n v="0"/>
    <x v="0"/>
    <n v="0"/>
  </r>
  <r>
    <n v="33"/>
    <x v="1"/>
    <s v="Travel_Rarely"/>
    <n v="461"/>
    <x v="1"/>
    <n v="13"/>
    <n v="1"/>
    <s v="Life Sciences"/>
    <n v="1"/>
    <n v="995"/>
    <n v="2"/>
    <x v="0"/>
    <n v="53"/>
    <n v="3"/>
    <n v="1"/>
    <s v="Research Scientist"/>
    <n v="4"/>
    <s v="Single"/>
    <x v="2"/>
    <n v="3452"/>
    <n v="17241"/>
    <n v="3"/>
    <s v="Yes"/>
    <s v="No"/>
    <n v="18"/>
    <x v="0"/>
    <n v="1"/>
    <n v="80"/>
    <n v="0"/>
    <n v="5"/>
    <n v="4"/>
    <n v="3"/>
    <n v="3"/>
    <n v="2"/>
    <x v="0"/>
    <n v="2"/>
  </r>
  <r>
    <n v="45"/>
    <x v="1"/>
    <s v="Travel_Rarely"/>
    <n v="974"/>
    <x v="1"/>
    <n v="1"/>
    <n v="4"/>
    <s v="Medical"/>
    <n v="1"/>
    <n v="996"/>
    <n v="4"/>
    <x v="0"/>
    <n v="91"/>
    <n v="3"/>
    <n v="1"/>
    <s v="Laboratory Technician"/>
    <n v="4"/>
    <s v="Divorced"/>
    <x v="1"/>
    <n v="2270"/>
    <n v="11005"/>
    <n v="3"/>
    <s v="Yes"/>
    <s v="No"/>
    <n v="14"/>
    <x v="0"/>
    <n v="4"/>
    <n v="80"/>
    <n v="2"/>
    <n v="8"/>
    <n v="2"/>
    <n v="3"/>
    <n v="5"/>
    <n v="3"/>
    <x v="0"/>
    <n v="2"/>
  </r>
  <r>
    <n v="50"/>
    <x v="1"/>
    <s v="Travel_Rarely"/>
    <n v="1126"/>
    <x v="1"/>
    <n v="1"/>
    <n v="2"/>
    <s v="Medical"/>
    <n v="1"/>
    <n v="997"/>
    <n v="4"/>
    <x v="1"/>
    <n v="66"/>
    <n v="3"/>
    <n v="4"/>
    <s v="Research Director"/>
    <n v="4"/>
    <s v="Divorced"/>
    <x v="16"/>
    <n v="17399"/>
    <n v="6615"/>
    <n v="9"/>
    <s v="Yes"/>
    <s v="No"/>
    <n v="22"/>
    <x v="1"/>
    <n v="3"/>
    <n v="80"/>
    <n v="1"/>
    <n v="32"/>
    <n v="1"/>
    <n v="2"/>
    <n v="5"/>
    <n v="4"/>
    <x v="1"/>
    <n v="3"/>
  </r>
  <r>
    <n v="33"/>
    <x v="1"/>
    <s v="Travel_Frequently"/>
    <n v="827"/>
    <x v="1"/>
    <n v="1"/>
    <n v="4"/>
    <s v="Other"/>
    <n v="1"/>
    <n v="998"/>
    <n v="3"/>
    <x v="0"/>
    <n v="84"/>
    <n v="4"/>
    <n v="2"/>
    <s v="Healthcare Representative"/>
    <n v="2"/>
    <s v="Married"/>
    <x v="0"/>
    <n v="5488"/>
    <n v="20161"/>
    <n v="1"/>
    <s v="Yes"/>
    <s v="Yes"/>
    <n v="13"/>
    <x v="0"/>
    <n v="1"/>
    <n v="80"/>
    <n v="1"/>
    <n v="6"/>
    <n v="2"/>
    <n v="3"/>
    <n v="6"/>
    <n v="5"/>
    <x v="1"/>
    <n v="2"/>
  </r>
  <r>
    <n v="41"/>
    <x v="1"/>
    <s v="Travel_Frequently"/>
    <n v="840"/>
    <x v="1"/>
    <n v="9"/>
    <n v="3"/>
    <s v="Medical"/>
    <n v="1"/>
    <n v="999"/>
    <n v="1"/>
    <x v="1"/>
    <n v="64"/>
    <n v="3"/>
    <n v="5"/>
    <s v="Research Director"/>
    <n v="3"/>
    <s v="Divorced"/>
    <x v="8"/>
    <n v="19419"/>
    <n v="3735"/>
    <n v="2"/>
    <s v="Yes"/>
    <s v="No"/>
    <n v="17"/>
    <x v="0"/>
    <n v="2"/>
    <n v="80"/>
    <n v="1"/>
    <n v="21"/>
    <n v="2"/>
    <n v="4"/>
    <n v="18"/>
    <n v="16"/>
    <x v="0"/>
    <n v="11"/>
  </r>
  <r>
    <n v="27"/>
    <x v="1"/>
    <s v="Travel_Rarely"/>
    <n v="1134"/>
    <x v="1"/>
    <n v="16"/>
    <n v="4"/>
    <s v="Technical Degree"/>
    <n v="1"/>
    <n v="1001"/>
    <n v="3"/>
    <x v="0"/>
    <n v="37"/>
    <n v="3"/>
    <n v="1"/>
    <s v="Laboratory Technician"/>
    <n v="2"/>
    <s v="Married"/>
    <x v="1"/>
    <n v="2811"/>
    <n v="12086"/>
    <n v="9"/>
    <s v="Yes"/>
    <s v="No"/>
    <n v="14"/>
    <x v="0"/>
    <n v="2"/>
    <n v="80"/>
    <n v="1"/>
    <n v="4"/>
    <n v="2"/>
    <n v="3"/>
    <n v="2"/>
    <n v="2"/>
    <x v="3"/>
    <n v="2"/>
  </r>
  <r>
    <n v="45"/>
    <x v="1"/>
    <s v="Non-Travel"/>
    <n v="248"/>
    <x v="1"/>
    <n v="23"/>
    <n v="2"/>
    <s v="Life Sciences"/>
    <n v="1"/>
    <n v="1002"/>
    <n v="4"/>
    <x v="1"/>
    <n v="42"/>
    <n v="3"/>
    <n v="2"/>
    <s v="Laboratory Technician"/>
    <n v="1"/>
    <s v="Married"/>
    <x v="2"/>
    <n v="3633"/>
    <n v="14039"/>
    <n v="1"/>
    <s v="Yes"/>
    <s v="Yes"/>
    <n v="15"/>
    <x v="0"/>
    <n v="3"/>
    <n v="80"/>
    <n v="1"/>
    <n v="9"/>
    <n v="2"/>
    <n v="3"/>
    <n v="9"/>
    <n v="8"/>
    <x v="0"/>
    <n v="8"/>
  </r>
  <r>
    <n v="47"/>
    <x v="1"/>
    <s v="Travel_Rarely"/>
    <n v="955"/>
    <x v="0"/>
    <n v="4"/>
    <n v="2"/>
    <s v="Life Sciences"/>
    <n v="1"/>
    <n v="1003"/>
    <n v="4"/>
    <x v="0"/>
    <n v="83"/>
    <n v="3"/>
    <n v="2"/>
    <s v="Sales Executive"/>
    <n v="4"/>
    <s v="Single"/>
    <x v="4"/>
    <n v="4163"/>
    <n v="8571"/>
    <n v="1"/>
    <s v="Yes"/>
    <s v="Yes"/>
    <n v="17"/>
    <x v="0"/>
    <n v="3"/>
    <n v="80"/>
    <n v="0"/>
    <n v="9"/>
    <n v="0"/>
    <n v="3"/>
    <n v="9"/>
    <n v="0"/>
    <x v="0"/>
    <n v="7"/>
  </r>
  <r>
    <n v="30"/>
    <x v="0"/>
    <s v="Travel_Rarely"/>
    <n v="138"/>
    <x v="1"/>
    <n v="22"/>
    <n v="3"/>
    <s v="Life Sciences"/>
    <n v="1"/>
    <n v="1004"/>
    <n v="1"/>
    <x v="0"/>
    <n v="48"/>
    <n v="3"/>
    <n v="1"/>
    <s v="Research Scientist"/>
    <n v="3"/>
    <s v="Married"/>
    <x v="1"/>
    <n v="2132"/>
    <n v="11539"/>
    <n v="4"/>
    <s v="Yes"/>
    <s v="Yes"/>
    <n v="11"/>
    <x v="0"/>
    <n v="2"/>
    <n v="80"/>
    <n v="0"/>
    <n v="7"/>
    <n v="2"/>
    <n v="3"/>
    <n v="5"/>
    <n v="2"/>
    <x v="0"/>
    <n v="1"/>
  </r>
  <r>
    <n v="50"/>
    <x v="1"/>
    <s v="Travel_Rarely"/>
    <n v="939"/>
    <x v="1"/>
    <n v="24"/>
    <n v="3"/>
    <s v="Life Sciences"/>
    <n v="1"/>
    <n v="1005"/>
    <n v="4"/>
    <x v="1"/>
    <n v="95"/>
    <n v="3"/>
    <n v="4"/>
    <s v="Manufacturing Director"/>
    <n v="3"/>
    <s v="Married"/>
    <x v="13"/>
    <n v="13973"/>
    <n v="4161"/>
    <n v="3"/>
    <s v="Yes"/>
    <s v="Yes"/>
    <n v="18"/>
    <x v="0"/>
    <n v="4"/>
    <n v="80"/>
    <n v="1"/>
    <n v="22"/>
    <n v="2"/>
    <n v="3"/>
    <n v="12"/>
    <n v="11"/>
    <x v="1"/>
    <n v="5"/>
  </r>
  <r>
    <n v="38"/>
    <x v="1"/>
    <s v="Travel_Frequently"/>
    <n v="1391"/>
    <x v="1"/>
    <n v="10"/>
    <n v="1"/>
    <s v="Medical"/>
    <n v="1"/>
    <n v="1006"/>
    <n v="3"/>
    <x v="1"/>
    <n v="66"/>
    <n v="3"/>
    <n v="1"/>
    <s v="Research Scientist"/>
    <n v="3"/>
    <s v="Married"/>
    <x v="1"/>
    <n v="2684"/>
    <n v="12127"/>
    <n v="0"/>
    <s v="Yes"/>
    <s v="No"/>
    <n v="17"/>
    <x v="0"/>
    <n v="2"/>
    <n v="80"/>
    <n v="1"/>
    <n v="3"/>
    <n v="0"/>
    <n v="2"/>
    <n v="2"/>
    <n v="1"/>
    <x v="0"/>
    <n v="2"/>
  </r>
  <r>
    <n v="46"/>
    <x v="1"/>
    <s v="Travel_Rarely"/>
    <n v="566"/>
    <x v="1"/>
    <n v="7"/>
    <n v="2"/>
    <s v="Medical"/>
    <n v="1"/>
    <n v="1007"/>
    <n v="4"/>
    <x v="1"/>
    <n v="75"/>
    <n v="3"/>
    <n v="3"/>
    <s v="Manufacturing Director"/>
    <n v="3"/>
    <s v="Divorced"/>
    <x v="10"/>
    <n v="10845"/>
    <n v="24208"/>
    <n v="6"/>
    <s v="Yes"/>
    <s v="No"/>
    <n v="13"/>
    <x v="0"/>
    <n v="2"/>
    <n v="80"/>
    <n v="1"/>
    <n v="13"/>
    <n v="3"/>
    <n v="3"/>
    <n v="8"/>
    <n v="7"/>
    <x v="0"/>
    <n v="7"/>
  </r>
  <r>
    <n v="24"/>
    <x v="1"/>
    <s v="Travel_Rarely"/>
    <n v="1206"/>
    <x v="1"/>
    <n v="17"/>
    <n v="1"/>
    <s v="Medical"/>
    <n v="1"/>
    <n v="1009"/>
    <n v="4"/>
    <x v="0"/>
    <n v="41"/>
    <n v="2"/>
    <n v="2"/>
    <s v="Manufacturing Director"/>
    <n v="3"/>
    <s v="Divorced"/>
    <x v="4"/>
    <n v="4377"/>
    <n v="24117"/>
    <n v="1"/>
    <s v="Yes"/>
    <s v="No"/>
    <n v="15"/>
    <x v="0"/>
    <n v="2"/>
    <n v="80"/>
    <n v="2"/>
    <n v="5"/>
    <n v="6"/>
    <n v="3"/>
    <n v="4"/>
    <n v="2"/>
    <x v="2"/>
    <n v="2"/>
  </r>
  <r>
    <n v="35"/>
    <x v="0"/>
    <s v="Travel_Rarely"/>
    <n v="622"/>
    <x v="1"/>
    <n v="14"/>
    <n v="4"/>
    <s v="Other"/>
    <n v="1"/>
    <n v="1010"/>
    <n v="3"/>
    <x v="1"/>
    <n v="39"/>
    <n v="2"/>
    <n v="1"/>
    <s v="Laboratory Technician"/>
    <n v="2"/>
    <s v="Divorced"/>
    <x v="2"/>
    <n v="3743"/>
    <n v="10074"/>
    <n v="1"/>
    <s v="Yes"/>
    <s v="Yes"/>
    <n v="24"/>
    <x v="1"/>
    <n v="4"/>
    <n v="80"/>
    <n v="1"/>
    <n v="5"/>
    <n v="2"/>
    <n v="1"/>
    <n v="4"/>
    <n v="2"/>
    <x v="0"/>
    <n v="2"/>
  </r>
  <r>
    <n v="31"/>
    <x v="1"/>
    <s v="Travel_Frequently"/>
    <n v="853"/>
    <x v="1"/>
    <n v="1"/>
    <n v="1"/>
    <s v="Life Sciences"/>
    <n v="1"/>
    <n v="1011"/>
    <n v="3"/>
    <x v="0"/>
    <n v="96"/>
    <n v="3"/>
    <n v="2"/>
    <s v="Manufacturing Director"/>
    <n v="1"/>
    <s v="Married"/>
    <x v="4"/>
    <n v="4148"/>
    <n v="11275"/>
    <n v="1"/>
    <s v="Yes"/>
    <s v="No"/>
    <n v="12"/>
    <x v="0"/>
    <n v="3"/>
    <n v="80"/>
    <n v="1"/>
    <n v="4"/>
    <n v="1"/>
    <n v="3"/>
    <n v="4"/>
    <n v="3"/>
    <x v="0"/>
    <n v="3"/>
  </r>
  <r>
    <n v="18"/>
    <x v="1"/>
    <s v="Non-Travel"/>
    <n v="287"/>
    <x v="1"/>
    <n v="5"/>
    <n v="2"/>
    <s v="Life Sciences"/>
    <n v="1"/>
    <n v="1012"/>
    <n v="2"/>
    <x v="1"/>
    <n v="73"/>
    <n v="3"/>
    <n v="1"/>
    <s v="Research Scientist"/>
    <n v="4"/>
    <s v="Single"/>
    <x v="7"/>
    <n v="1051"/>
    <n v="13493"/>
    <n v="1"/>
    <s v="Yes"/>
    <s v="No"/>
    <n v="15"/>
    <x v="0"/>
    <n v="4"/>
    <n v="80"/>
    <n v="0"/>
    <n v="0"/>
    <n v="2"/>
    <n v="3"/>
    <n v="0"/>
    <n v="0"/>
    <x v="0"/>
    <n v="0"/>
  </r>
  <r>
    <n v="54"/>
    <x v="1"/>
    <s v="Travel_Rarely"/>
    <n v="1441"/>
    <x v="1"/>
    <n v="17"/>
    <n v="3"/>
    <s v="Technical Degree"/>
    <n v="1"/>
    <n v="1013"/>
    <n v="3"/>
    <x v="0"/>
    <n v="56"/>
    <n v="3"/>
    <n v="3"/>
    <s v="Manufacturing Director"/>
    <n v="3"/>
    <s v="Married"/>
    <x v="10"/>
    <n v="10739"/>
    <n v="13943"/>
    <n v="8"/>
    <s v="Yes"/>
    <s v="No"/>
    <n v="11"/>
    <x v="0"/>
    <n v="3"/>
    <n v="80"/>
    <n v="1"/>
    <n v="22"/>
    <n v="2"/>
    <n v="3"/>
    <n v="10"/>
    <n v="7"/>
    <x v="0"/>
    <n v="8"/>
  </r>
  <r>
    <n v="35"/>
    <x v="1"/>
    <s v="Travel_Rarely"/>
    <n v="583"/>
    <x v="1"/>
    <n v="25"/>
    <n v="4"/>
    <s v="Medical"/>
    <n v="1"/>
    <n v="1014"/>
    <n v="3"/>
    <x v="0"/>
    <n v="57"/>
    <n v="3"/>
    <n v="3"/>
    <s v="Healthcare Representative"/>
    <n v="3"/>
    <s v="Divorced"/>
    <x v="10"/>
    <n v="10388"/>
    <n v="6975"/>
    <n v="1"/>
    <s v="Yes"/>
    <s v="Yes"/>
    <n v="11"/>
    <x v="0"/>
    <n v="3"/>
    <n v="80"/>
    <n v="1"/>
    <n v="16"/>
    <n v="3"/>
    <n v="2"/>
    <n v="16"/>
    <n v="10"/>
    <x v="13"/>
    <n v="1"/>
  </r>
  <r>
    <n v="30"/>
    <x v="1"/>
    <s v="Travel_Rarely"/>
    <n v="153"/>
    <x v="1"/>
    <n v="8"/>
    <n v="2"/>
    <s v="Life Sciences"/>
    <n v="1"/>
    <n v="1015"/>
    <n v="2"/>
    <x v="0"/>
    <n v="73"/>
    <n v="4"/>
    <n v="3"/>
    <s v="Research Director"/>
    <n v="1"/>
    <s v="Married"/>
    <x v="6"/>
    <n v="11416"/>
    <n v="17802"/>
    <n v="0"/>
    <s v="Yes"/>
    <s v="Yes"/>
    <n v="12"/>
    <x v="0"/>
    <n v="3"/>
    <n v="80"/>
    <n v="3"/>
    <n v="9"/>
    <n v="4"/>
    <n v="2"/>
    <n v="8"/>
    <n v="7"/>
    <x v="1"/>
    <n v="7"/>
  </r>
  <r>
    <n v="20"/>
    <x v="0"/>
    <s v="Travel_Rarely"/>
    <n v="1097"/>
    <x v="1"/>
    <n v="11"/>
    <n v="3"/>
    <s v="Medical"/>
    <n v="1"/>
    <n v="1016"/>
    <n v="4"/>
    <x v="0"/>
    <n v="98"/>
    <n v="2"/>
    <n v="1"/>
    <s v="Research Scientist"/>
    <n v="1"/>
    <s v="Single"/>
    <x v="1"/>
    <n v="2600"/>
    <n v="18275"/>
    <n v="1"/>
    <s v="Yes"/>
    <s v="Yes"/>
    <n v="15"/>
    <x v="0"/>
    <n v="1"/>
    <n v="80"/>
    <n v="0"/>
    <n v="1"/>
    <n v="2"/>
    <n v="3"/>
    <n v="1"/>
    <n v="0"/>
    <x v="0"/>
    <n v="0"/>
  </r>
  <r>
    <n v="30"/>
    <x v="0"/>
    <s v="Travel_Frequently"/>
    <n v="109"/>
    <x v="1"/>
    <n v="5"/>
    <n v="3"/>
    <s v="Medical"/>
    <n v="1"/>
    <n v="1017"/>
    <n v="2"/>
    <x v="0"/>
    <n v="60"/>
    <n v="3"/>
    <n v="1"/>
    <s v="Laboratory Technician"/>
    <n v="2"/>
    <s v="Single"/>
    <x v="1"/>
    <n v="2422"/>
    <n v="25725"/>
    <n v="0"/>
    <s v="Yes"/>
    <s v="No"/>
    <n v="17"/>
    <x v="0"/>
    <n v="1"/>
    <n v="80"/>
    <n v="0"/>
    <n v="4"/>
    <n v="3"/>
    <n v="3"/>
    <n v="3"/>
    <n v="2"/>
    <x v="1"/>
    <n v="2"/>
  </r>
  <r>
    <n v="26"/>
    <x v="1"/>
    <s v="Travel_Rarely"/>
    <n v="1066"/>
    <x v="1"/>
    <n v="2"/>
    <n v="2"/>
    <s v="Medical"/>
    <n v="1"/>
    <n v="1018"/>
    <n v="4"/>
    <x v="1"/>
    <n v="32"/>
    <n v="4"/>
    <n v="2"/>
    <s v="Manufacturing Director"/>
    <n v="4"/>
    <s v="Married"/>
    <x v="0"/>
    <n v="5472"/>
    <n v="3334"/>
    <n v="1"/>
    <s v="Yes"/>
    <s v="No"/>
    <n v="12"/>
    <x v="0"/>
    <n v="2"/>
    <n v="80"/>
    <n v="0"/>
    <n v="8"/>
    <n v="2"/>
    <n v="3"/>
    <n v="8"/>
    <n v="7"/>
    <x v="1"/>
    <n v="3"/>
  </r>
  <r>
    <n v="22"/>
    <x v="1"/>
    <s v="Travel_Rarely"/>
    <n v="217"/>
    <x v="1"/>
    <n v="8"/>
    <n v="1"/>
    <s v="Life Sciences"/>
    <n v="1"/>
    <n v="1019"/>
    <n v="2"/>
    <x v="1"/>
    <n v="94"/>
    <n v="1"/>
    <n v="1"/>
    <s v="Laboratory Technician"/>
    <n v="1"/>
    <s v="Married"/>
    <x v="1"/>
    <n v="2451"/>
    <n v="6881"/>
    <n v="1"/>
    <s v="Yes"/>
    <s v="No"/>
    <n v="15"/>
    <x v="0"/>
    <n v="1"/>
    <n v="80"/>
    <n v="1"/>
    <n v="4"/>
    <n v="3"/>
    <n v="2"/>
    <n v="4"/>
    <n v="3"/>
    <x v="1"/>
    <n v="1"/>
  </r>
  <r>
    <n v="48"/>
    <x v="1"/>
    <s v="Travel_Rarely"/>
    <n v="277"/>
    <x v="1"/>
    <n v="6"/>
    <n v="3"/>
    <s v="Life Sciences"/>
    <n v="1"/>
    <n v="1022"/>
    <n v="1"/>
    <x v="1"/>
    <n v="97"/>
    <n v="2"/>
    <n v="2"/>
    <s v="Healthcare Representative"/>
    <n v="3"/>
    <s v="Single"/>
    <x v="4"/>
    <n v="4240"/>
    <n v="13119"/>
    <n v="2"/>
    <s v="Yes"/>
    <s v="No"/>
    <n v="13"/>
    <x v="0"/>
    <n v="4"/>
    <n v="80"/>
    <n v="0"/>
    <n v="19"/>
    <n v="0"/>
    <n v="3"/>
    <n v="2"/>
    <n v="2"/>
    <x v="3"/>
    <n v="2"/>
  </r>
  <r>
    <n v="48"/>
    <x v="1"/>
    <s v="Travel_Rarely"/>
    <n v="1355"/>
    <x v="1"/>
    <n v="4"/>
    <n v="4"/>
    <s v="Life Sciences"/>
    <n v="1"/>
    <n v="1024"/>
    <n v="3"/>
    <x v="1"/>
    <n v="78"/>
    <n v="2"/>
    <n v="3"/>
    <s v="Healthcare Representative"/>
    <n v="3"/>
    <s v="Single"/>
    <x v="10"/>
    <n v="10999"/>
    <n v="22245"/>
    <n v="7"/>
    <s v="Yes"/>
    <s v="No"/>
    <n v="14"/>
    <x v="0"/>
    <n v="2"/>
    <n v="80"/>
    <n v="0"/>
    <n v="27"/>
    <n v="3"/>
    <n v="3"/>
    <n v="15"/>
    <n v="11"/>
    <x v="5"/>
    <n v="8"/>
  </r>
  <r>
    <n v="41"/>
    <x v="1"/>
    <s v="Travel_Rarely"/>
    <n v="549"/>
    <x v="1"/>
    <n v="7"/>
    <n v="2"/>
    <s v="Medical"/>
    <n v="1"/>
    <n v="1025"/>
    <n v="4"/>
    <x v="0"/>
    <n v="42"/>
    <n v="3"/>
    <n v="2"/>
    <s v="Manufacturing Director"/>
    <n v="3"/>
    <s v="Single"/>
    <x v="0"/>
    <n v="5003"/>
    <n v="23371"/>
    <n v="6"/>
    <s v="Yes"/>
    <s v="No"/>
    <n v="14"/>
    <x v="0"/>
    <n v="2"/>
    <n v="80"/>
    <n v="0"/>
    <n v="8"/>
    <n v="6"/>
    <n v="3"/>
    <n v="2"/>
    <n v="2"/>
    <x v="3"/>
    <n v="1"/>
  </r>
  <r>
    <n v="39"/>
    <x v="1"/>
    <s v="Travel_Rarely"/>
    <n v="466"/>
    <x v="1"/>
    <n v="1"/>
    <n v="1"/>
    <s v="Life Sciences"/>
    <n v="1"/>
    <n v="1026"/>
    <n v="4"/>
    <x v="0"/>
    <n v="65"/>
    <n v="2"/>
    <n v="4"/>
    <s v="Manufacturing Director"/>
    <n v="4"/>
    <s v="Married"/>
    <x v="18"/>
    <n v="12742"/>
    <n v="7060"/>
    <n v="1"/>
    <s v="Yes"/>
    <s v="No"/>
    <n v="16"/>
    <x v="0"/>
    <n v="3"/>
    <n v="80"/>
    <n v="1"/>
    <n v="21"/>
    <n v="3"/>
    <n v="3"/>
    <n v="21"/>
    <n v="6"/>
    <x v="14"/>
    <n v="8"/>
  </r>
  <r>
    <n v="27"/>
    <x v="1"/>
    <s v="Travel_Rarely"/>
    <n v="1055"/>
    <x v="1"/>
    <n v="2"/>
    <n v="4"/>
    <s v="Life Sciences"/>
    <n v="1"/>
    <n v="1027"/>
    <n v="1"/>
    <x v="0"/>
    <n v="47"/>
    <n v="3"/>
    <n v="2"/>
    <s v="Manufacturing Director"/>
    <n v="4"/>
    <s v="Married"/>
    <x v="4"/>
    <n v="4227"/>
    <n v="4658"/>
    <n v="0"/>
    <s v="Yes"/>
    <s v="No"/>
    <n v="18"/>
    <x v="0"/>
    <n v="2"/>
    <n v="80"/>
    <n v="1"/>
    <n v="4"/>
    <n v="2"/>
    <n v="3"/>
    <n v="3"/>
    <n v="2"/>
    <x v="3"/>
    <n v="2"/>
  </r>
  <r>
    <n v="35"/>
    <x v="1"/>
    <s v="Travel_Rarely"/>
    <n v="802"/>
    <x v="1"/>
    <n v="10"/>
    <n v="3"/>
    <s v="Other"/>
    <n v="1"/>
    <n v="1028"/>
    <n v="2"/>
    <x v="1"/>
    <n v="45"/>
    <n v="3"/>
    <n v="1"/>
    <s v="Laboratory Technician"/>
    <n v="4"/>
    <s v="Divorced"/>
    <x v="2"/>
    <n v="3917"/>
    <n v="9541"/>
    <n v="1"/>
    <s v="Yes"/>
    <s v="No"/>
    <n v="20"/>
    <x v="1"/>
    <n v="1"/>
    <n v="80"/>
    <n v="1"/>
    <n v="3"/>
    <n v="4"/>
    <n v="2"/>
    <n v="3"/>
    <n v="2"/>
    <x v="1"/>
    <n v="2"/>
  </r>
  <r>
    <n v="42"/>
    <x v="1"/>
    <s v="Travel_Rarely"/>
    <n v="265"/>
    <x v="0"/>
    <n v="5"/>
    <n v="2"/>
    <s v="Marketing"/>
    <n v="1"/>
    <n v="1029"/>
    <n v="4"/>
    <x v="1"/>
    <n v="90"/>
    <n v="3"/>
    <n v="5"/>
    <s v="Manager"/>
    <n v="3"/>
    <s v="Married"/>
    <x v="11"/>
    <n v="18303"/>
    <n v="7770"/>
    <n v="6"/>
    <s v="Yes"/>
    <s v="No"/>
    <n v="13"/>
    <x v="0"/>
    <n v="2"/>
    <n v="80"/>
    <n v="0"/>
    <n v="21"/>
    <n v="3"/>
    <n v="4"/>
    <n v="1"/>
    <n v="0"/>
    <x v="0"/>
    <n v="0"/>
  </r>
  <r>
    <n v="50"/>
    <x v="1"/>
    <s v="Travel_Rarely"/>
    <n v="804"/>
    <x v="1"/>
    <n v="9"/>
    <n v="3"/>
    <s v="Life Sciences"/>
    <n v="1"/>
    <n v="1030"/>
    <n v="1"/>
    <x v="1"/>
    <n v="64"/>
    <n v="3"/>
    <n v="1"/>
    <s v="Laboratory Technician"/>
    <n v="4"/>
    <s v="Married"/>
    <x v="1"/>
    <n v="2380"/>
    <n v="20165"/>
    <n v="4"/>
    <s v="Yes"/>
    <s v="No"/>
    <n v="18"/>
    <x v="0"/>
    <n v="2"/>
    <n v="80"/>
    <n v="0"/>
    <n v="8"/>
    <n v="5"/>
    <n v="3"/>
    <n v="1"/>
    <n v="0"/>
    <x v="0"/>
    <n v="0"/>
  </r>
  <r>
    <n v="59"/>
    <x v="1"/>
    <s v="Travel_Rarely"/>
    <n v="715"/>
    <x v="1"/>
    <n v="2"/>
    <n v="3"/>
    <s v="Life Sciences"/>
    <n v="1"/>
    <n v="1032"/>
    <n v="3"/>
    <x v="0"/>
    <n v="69"/>
    <n v="2"/>
    <n v="4"/>
    <s v="Manufacturing Director"/>
    <n v="4"/>
    <s v="Single"/>
    <x v="13"/>
    <n v="13726"/>
    <n v="21829"/>
    <n v="3"/>
    <s v="Yes"/>
    <s v="Yes"/>
    <n v="13"/>
    <x v="0"/>
    <n v="1"/>
    <n v="80"/>
    <n v="0"/>
    <n v="30"/>
    <n v="4"/>
    <n v="3"/>
    <n v="5"/>
    <n v="3"/>
    <x v="5"/>
    <n v="3"/>
  </r>
  <r>
    <n v="37"/>
    <x v="0"/>
    <s v="Travel_Rarely"/>
    <n v="1141"/>
    <x v="1"/>
    <n v="11"/>
    <n v="2"/>
    <s v="Medical"/>
    <n v="1"/>
    <n v="1033"/>
    <n v="1"/>
    <x v="0"/>
    <n v="61"/>
    <n v="1"/>
    <n v="2"/>
    <s v="Healthcare Representative"/>
    <n v="2"/>
    <s v="Married"/>
    <x v="4"/>
    <n v="4777"/>
    <n v="14382"/>
    <n v="5"/>
    <s v="Yes"/>
    <s v="No"/>
    <n v="15"/>
    <x v="0"/>
    <n v="1"/>
    <n v="80"/>
    <n v="0"/>
    <n v="15"/>
    <n v="2"/>
    <n v="1"/>
    <n v="1"/>
    <n v="0"/>
    <x v="0"/>
    <n v="0"/>
  </r>
  <r>
    <n v="55"/>
    <x v="1"/>
    <s v="Travel_Frequently"/>
    <n v="135"/>
    <x v="1"/>
    <n v="18"/>
    <n v="4"/>
    <s v="Medical"/>
    <n v="1"/>
    <n v="1034"/>
    <n v="3"/>
    <x v="1"/>
    <n v="62"/>
    <n v="3"/>
    <n v="2"/>
    <s v="Healthcare Representative"/>
    <n v="2"/>
    <s v="Married"/>
    <x v="9"/>
    <n v="6385"/>
    <n v="12992"/>
    <n v="3"/>
    <s v="Yes"/>
    <s v="Yes"/>
    <n v="14"/>
    <x v="0"/>
    <n v="4"/>
    <n v="80"/>
    <n v="2"/>
    <n v="17"/>
    <n v="3"/>
    <n v="3"/>
    <n v="8"/>
    <n v="7"/>
    <x v="7"/>
    <n v="7"/>
  </r>
  <r>
    <n v="41"/>
    <x v="1"/>
    <s v="Non-Travel"/>
    <n v="247"/>
    <x v="1"/>
    <n v="7"/>
    <n v="1"/>
    <s v="Life Sciences"/>
    <n v="1"/>
    <n v="1035"/>
    <n v="2"/>
    <x v="0"/>
    <n v="55"/>
    <n v="1"/>
    <n v="5"/>
    <s v="Research Director"/>
    <n v="3"/>
    <s v="Divorced"/>
    <x v="8"/>
    <n v="19973"/>
    <n v="20284"/>
    <n v="1"/>
    <s v="Yes"/>
    <s v="No"/>
    <n v="22"/>
    <x v="1"/>
    <n v="2"/>
    <n v="80"/>
    <n v="2"/>
    <n v="21"/>
    <n v="3"/>
    <n v="3"/>
    <n v="21"/>
    <n v="16"/>
    <x v="8"/>
    <n v="10"/>
  </r>
  <r>
    <n v="38"/>
    <x v="1"/>
    <s v="Travel_Rarely"/>
    <n v="1035"/>
    <x v="0"/>
    <n v="3"/>
    <n v="4"/>
    <s v="Life Sciences"/>
    <n v="1"/>
    <n v="1036"/>
    <n v="2"/>
    <x v="1"/>
    <n v="42"/>
    <n v="3"/>
    <n v="2"/>
    <s v="Sales Executive"/>
    <n v="4"/>
    <s v="Single"/>
    <x v="9"/>
    <n v="6861"/>
    <n v="4981"/>
    <n v="8"/>
    <s v="Yes"/>
    <s v="Yes"/>
    <n v="12"/>
    <x v="0"/>
    <n v="3"/>
    <n v="80"/>
    <n v="0"/>
    <n v="19"/>
    <n v="1"/>
    <n v="3"/>
    <n v="1"/>
    <n v="0"/>
    <x v="0"/>
    <n v="0"/>
  </r>
  <r>
    <n v="26"/>
    <x v="0"/>
    <s v="Non-Travel"/>
    <n v="265"/>
    <x v="0"/>
    <n v="29"/>
    <n v="2"/>
    <s v="Medical"/>
    <n v="1"/>
    <n v="1037"/>
    <n v="2"/>
    <x v="1"/>
    <n v="79"/>
    <n v="1"/>
    <n v="2"/>
    <s v="Sales Executive"/>
    <n v="1"/>
    <s v="Single"/>
    <x v="4"/>
    <n v="4969"/>
    <n v="21813"/>
    <n v="8"/>
    <s v="Yes"/>
    <s v="No"/>
    <n v="18"/>
    <x v="0"/>
    <n v="4"/>
    <n v="80"/>
    <n v="0"/>
    <n v="7"/>
    <n v="6"/>
    <n v="3"/>
    <n v="2"/>
    <n v="2"/>
    <x v="3"/>
    <n v="2"/>
  </r>
  <r>
    <n v="52"/>
    <x v="0"/>
    <s v="Travel_Rarely"/>
    <n v="266"/>
    <x v="0"/>
    <n v="2"/>
    <n v="1"/>
    <s v="Marketing"/>
    <n v="1"/>
    <n v="1038"/>
    <n v="1"/>
    <x v="0"/>
    <n v="57"/>
    <n v="1"/>
    <n v="5"/>
    <s v="Manager"/>
    <n v="4"/>
    <s v="Married"/>
    <x v="8"/>
    <n v="19845"/>
    <n v="25846"/>
    <n v="1"/>
    <s v="Yes"/>
    <s v="No"/>
    <n v="15"/>
    <x v="0"/>
    <n v="4"/>
    <n v="80"/>
    <n v="1"/>
    <n v="33"/>
    <n v="3"/>
    <n v="3"/>
    <n v="32"/>
    <n v="14"/>
    <x v="7"/>
    <n v="9"/>
  </r>
  <r>
    <n v="44"/>
    <x v="1"/>
    <s v="Travel_Rarely"/>
    <n v="1448"/>
    <x v="0"/>
    <n v="28"/>
    <n v="3"/>
    <s v="Medical"/>
    <n v="1"/>
    <n v="1039"/>
    <n v="4"/>
    <x v="0"/>
    <n v="53"/>
    <n v="4"/>
    <n v="4"/>
    <s v="Sales Executive"/>
    <n v="4"/>
    <s v="Married"/>
    <x v="13"/>
    <n v="13320"/>
    <n v="11737"/>
    <n v="3"/>
    <s v="Yes"/>
    <s v="Yes"/>
    <n v="18"/>
    <x v="0"/>
    <n v="3"/>
    <n v="80"/>
    <n v="1"/>
    <n v="23"/>
    <n v="2"/>
    <n v="3"/>
    <n v="12"/>
    <n v="11"/>
    <x v="14"/>
    <n v="11"/>
  </r>
  <r>
    <n v="50"/>
    <x v="1"/>
    <s v="Non-Travel"/>
    <n v="145"/>
    <x v="0"/>
    <n v="1"/>
    <n v="3"/>
    <s v="Life Sciences"/>
    <n v="1"/>
    <n v="1040"/>
    <n v="4"/>
    <x v="0"/>
    <n v="95"/>
    <n v="3"/>
    <n v="2"/>
    <s v="Sales Executive"/>
    <n v="3"/>
    <s v="Married"/>
    <x v="9"/>
    <n v="6347"/>
    <n v="24920"/>
    <n v="0"/>
    <s v="Yes"/>
    <s v="No"/>
    <n v="12"/>
    <x v="0"/>
    <n v="1"/>
    <n v="80"/>
    <n v="1"/>
    <n v="19"/>
    <n v="3"/>
    <n v="3"/>
    <n v="18"/>
    <n v="7"/>
    <x v="0"/>
    <n v="13"/>
  </r>
  <r>
    <n v="36"/>
    <x v="0"/>
    <s v="Travel_Rarely"/>
    <n v="885"/>
    <x v="1"/>
    <n v="16"/>
    <n v="4"/>
    <s v="Life Sciences"/>
    <n v="1"/>
    <n v="1042"/>
    <n v="3"/>
    <x v="0"/>
    <n v="43"/>
    <n v="4"/>
    <n v="1"/>
    <s v="Laboratory Technician"/>
    <n v="1"/>
    <s v="Single"/>
    <x v="1"/>
    <n v="2743"/>
    <n v="8269"/>
    <n v="1"/>
    <s v="Yes"/>
    <s v="No"/>
    <n v="16"/>
    <x v="0"/>
    <n v="3"/>
    <n v="80"/>
    <n v="0"/>
    <n v="18"/>
    <n v="1"/>
    <n v="3"/>
    <n v="17"/>
    <n v="13"/>
    <x v="9"/>
    <n v="14"/>
  </r>
  <r>
    <n v="39"/>
    <x v="1"/>
    <s v="Travel_Frequently"/>
    <n v="945"/>
    <x v="1"/>
    <n v="22"/>
    <n v="3"/>
    <s v="Medical"/>
    <n v="1"/>
    <n v="1043"/>
    <n v="4"/>
    <x v="0"/>
    <n v="82"/>
    <n v="3"/>
    <n v="3"/>
    <s v="Manufacturing Director"/>
    <n v="1"/>
    <s v="Single"/>
    <x v="10"/>
    <n v="10880"/>
    <n v="5083"/>
    <n v="1"/>
    <s v="Yes"/>
    <s v="Yes"/>
    <n v="13"/>
    <x v="0"/>
    <n v="3"/>
    <n v="80"/>
    <n v="0"/>
    <n v="21"/>
    <n v="2"/>
    <n v="3"/>
    <n v="21"/>
    <n v="6"/>
    <x v="3"/>
    <n v="8"/>
  </r>
  <r>
    <n v="33"/>
    <x v="1"/>
    <s v="Non-Travel"/>
    <n v="1038"/>
    <x v="0"/>
    <n v="8"/>
    <n v="1"/>
    <s v="Life Sciences"/>
    <n v="1"/>
    <n v="1044"/>
    <n v="2"/>
    <x v="0"/>
    <n v="88"/>
    <n v="2"/>
    <n v="1"/>
    <s v="Sales Representative"/>
    <n v="4"/>
    <s v="Single"/>
    <x v="1"/>
    <n v="2342"/>
    <n v="21437"/>
    <n v="0"/>
    <s v="Yes"/>
    <s v="No"/>
    <n v="19"/>
    <x v="0"/>
    <n v="4"/>
    <n v="80"/>
    <n v="0"/>
    <n v="3"/>
    <n v="2"/>
    <n v="2"/>
    <n v="2"/>
    <n v="2"/>
    <x v="3"/>
    <n v="2"/>
  </r>
  <r>
    <n v="45"/>
    <x v="1"/>
    <s v="Travel_Rarely"/>
    <n v="1234"/>
    <x v="0"/>
    <n v="11"/>
    <n v="2"/>
    <s v="Life Sciences"/>
    <n v="1"/>
    <n v="1045"/>
    <n v="4"/>
    <x v="0"/>
    <n v="90"/>
    <n v="3"/>
    <n v="4"/>
    <s v="Manager"/>
    <n v="4"/>
    <s v="Married"/>
    <x v="16"/>
    <n v="17650"/>
    <n v="5404"/>
    <n v="3"/>
    <s v="Yes"/>
    <s v="No"/>
    <n v="13"/>
    <x v="0"/>
    <n v="2"/>
    <n v="80"/>
    <n v="1"/>
    <n v="26"/>
    <n v="4"/>
    <n v="4"/>
    <n v="9"/>
    <n v="3"/>
    <x v="1"/>
    <n v="1"/>
  </r>
  <r>
    <n v="32"/>
    <x v="1"/>
    <s v="Non-Travel"/>
    <n v="1109"/>
    <x v="1"/>
    <n v="29"/>
    <n v="4"/>
    <s v="Medical"/>
    <n v="1"/>
    <n v="1046"/>
    <n v="4"/>
    <x v="0"/>
    <n v="69"/>
    <n v="3"/>
    <n v="1"/>
    <s v="Laboratory Technician"/>
    <n v="3"/>
    <s v="Single"/>
    <x v="4"/>
    <n v="4025"/>
    <n v="11135"/>
    <n v="9"/>
    <s v="Yes"/>
    <s v="No"/>
    <n v="12"/>
    <x v="0"/>
    <n v="2"/>
    <n v="80"/>
    <n v="0"/>
    <n v="10"/>
    <n v="2"/>
    <n v="3"/>
    <n v="8"/>
    <n v="7"/>
    <x v="4"/>
    <n v="7"/>
  </r>
  <r>
    <n v="34"/>
    <x v="1"/>
    <s v="Travel_Rarely"/>
    <n v="216"/>
    <x v="0"/>
    <n v="1"/>
    <n v="4"/>
    <s v="Marketing"/>
    <n v="1"/>
    <n v="1047"/>
    <n v="2"/>
    <x v="1"/>
    <n v="75"/>
    <n v="4"/>
    <n v="2"/>
    <s v="Sales Executive"/>
    <n v="4"/>
    <s v="Divorced"/>
    <x v="3"/>
    <n v="9725"/>
    <n v="12278"/>
    <n v="0"/>
    <s v="Yes"/>
    <s v="No"/>
    <n v="11"/>
    <x v="0"/>
    <n v="4"/>
    <n v="80"/>
    <n v="1"/>
    <n v="16"/>
    <n v="2"/>
    <n v="2"/>
    <n v="15"/>
    <n v="1"/>
    <x v="0"/>
    <n v="9"/>
  </r>
  <r>
    <n v="59"/>
    <x v="1"/>
    <s v="Travel_Rarely"/>
    <n v="1089"/>
    <x v="0"/>
    <n v="1"/>
    <n v="2"/>
    <s v="Technical Degree"/>
    <n v="1"/>
    <n v="1048"/>
    <n v="2"/>
    <x v="1"/>
    <n v="66"/>
    <n v="3"/>
    <n v="3"/>
    <s v="Manager"/>
    <n v="4"/>
    <s v="Married"/>
    <x v="6"/>
    <n v="11904"/>
    <n v="11038"/>
    <n v="3"/>
    <s v="Yes"/>
    <s v="Yes"/>
    <n v="14"/>
    <x v="0"/>
    <n v="3"/>
    <n v="80"/>
    <n v="1"/>
    <n v="14"/>
    <n v="1"/>
    <n v="1"/>
    <n v="6"/>
    <n v="4"/>
    <x v="0"/>
    <n v="4"/>
  </r>
  <r>
    <n v="45"/>
    <x v="1"/>
    <s v="Travel_Rarely"/>
    <n v="788"/>
    <x v="2"/>
    <n v="24"/>
    <n v="4"/>
    <s v="Medical"/>
    <n v="1"/>
    <n v="1049"/>
    <n v="2"/>
    <x v="1"/>
    <n v="36"/>
    <n v="3"/>
    <n v="1"/>
    <s v="Human Resources"/>
    <n v="2"/>
    <s v="Single"/>
    <x v="1"/>
    <n v="2177"/>
    <n v="8318"/>
    <n v="1"/>
    <s v="Yes"/>
    <s v="No"/>
    <n v="16"/>
    <x v="0"/>
    <n v="1"/>
    <n v="80"/>
    <n v="0"/>
    <n v="6"/>
    <n v="3"/>
    <n v="3"/>
    <n v="6"/>
    <n v="3"/>
    <x v="0"/>
    <n v="4"/>
  </r>
  <r>
    <n v="53"/>
    <x v="1"/>
    <s v="Travel_Frequently"/>
    <n v="124"/>
    <x v="0"/>
    <n v="2"/>
    <n v="3"/>
    <s v="Marketing"/>
    <n v="1"/>
    <n v="1050"/>
    <n v="3"/>
    <x v="0"/>
    <n v="38"/>
    <n v="2"/>
    <n v="3"/>
    <s v="Sales Executive"/>
    <n v="2"/>
    <s v="Married"/>
    <x v="14"/>
    <n v="7525"/>
    <n v="23537"/>
    <n v="2"/>
    <s v="Yes"/>
    <s v="No"/>
    <n v="12"/>
    <x v="0"/>
    <n v="1"/>
    <n v="80"/>
    <n v="1"/>
    <n v="30"/>
    <n v="2"/>
    <n v="3"/>
    <n v="15"/>
    <n v="7"/>
    <x v="7"/>
    <n v="12"/>
  </r>
  <r>
    <n v="36"/>
    <x v="0"/>
    <s v="Travel_Rarely"/>
    <n v="660"/>
    <x v="1"/>
    <n v="15"/>
    <n v="3"/>
    <s v="Other"/>
    <n v="1"/>
    <n v="1052"/>
    <n v="1"/>
    <x v="1"/>
    <n v="81"/>
    <n v="3"/>
    <n v="2"/>
    <s v="Laboratory Technician"/>
    <n v="3"/>
    <s v="Divorced"/>
    <x v="4"/>
    <n v="4834"/>
    <n v="7858"/>
    <n v="7"/>
    <s v="Yes"/>
    <s v="No"/>
    <n v="14"/>
    <x v="0"/>
    <n v="2"/>
    <n v="80"/>
    <n v="1"/>
    <n v="9"/>
    <n v="3"/>
    <n v="2"/>
    <n v="1"/>
    <n v="0"/>
    <x v="0"/>
    <n v="0"/>
  </r>
  <r>
    <n v="26"/>
    <x v="0"/>
    <s v="Travel_Frequently"/>
    <n v="342"/>
    <x v="1"/>
    <n v="2"/>
    <n v="3"/>
    <s v="Life Sciences"/>
    <n v="1"/>
    <n v="1053"/>
    <n v="1"/>
    <x v="1"/>
    <n v="57"/>
    <n v="3"/>
    <n v="1"/>
    <s v="Research Scientist"/>
    <n v="1"/>
    <s v="Married"/>
    <x v="1"/>
    <n v="2042"/>
    <n v="15346"/>
    <n v="6"/>
    <s v="Yes"/>
    <s v="Yes"/>
    <n v="14"/>
    <x v="0"/>
    <n v="2"/>
    <n v="80"/>
    <n v="1"/>
    <n v="6"/>
    <n v="2"/>
    <n v="3"/>
    <n v="3"/>
    <n v="2"/>
    <x v="1"/>
    <n v="2"/>
  </r>
  <r>
    <n v="34"/>
    <x v="1"/>
    <s v="Travel_Rarely"/>
    <n v="1333"/>
    <x v="0"/>
    <n v="10"/>
    <n v="4"/>
    <s v="Life Sciences"/>
    <n v="1"/>
    <n v="1055"/>
    <n v="3"/>
    <x v="0"/>
    <n v="87"/>
    <n v="3"/>
    <n v="1"/>
    <s v="Sales Representative"/>
    <n v="3"/>
    <s v="Married"/>
    <x v="1"/>
    <n v="2220"/>
    <n v="18410"/>
    <n v="1"/>
    <s v="Yes"/>
    <s v="Yes"/>
    <n v="19"/>
    <x v="0"/>
    <n v="4"/>
    <n v="80"/>
    <n v="1"/>
    <n v="1"/>
    <n v="2"/>
    <n v="3"/>
    <n v="1"/>
    <n v="1"/>
    <x v="0"/>
    <n v="0"/>
  </r>
  <r>
    <n v="28"/>
    <x v="1"/>
    <s v="Travel_Rarely"/>
    <n v="1144"/>
    <x v="0"/>
    <n v="10"/>
    <n v="1"/>
    <s v="Medical"/>
    <n v="1"/>
    <n v="1056"/>
    <n v="4"/>
    <x v="1"/>
    <n v="74"/>
    <n v="3"/>
    <n v="1"/>
    <s v="Sales Representative"/>
    <n v="2"/>
    <s v="Married"/>
    <x v="7"/>
    <n v="1052"/>
    <n v="23384"/>
    <n v="1"/>
    <s v="Yes"/>
    <s v="No"/>
    <n v="22"/>
    <x v="1"/>
    <n v="2"/>
    <n v="80"/>
    <n v="0"/>
    <n v="1"/>
    <n v="5"/>
    <n v="3"/>
    <n v="1"/>
    <n v="0"/>
    <x v="0"/>
    <n v="0"/>
  </r>
  <r>
    <n v="38"/>
    <x v="1"/>
    <s v="Travel_Frequently"/>
    <n v="1186"/>
    <x v="1"/>
    <n v="3"/>
    <n v="4"/>
    <s v="Other"/>
    <n v="1"/>
    <n v="1060"/>
    <n v="3"/>
    <x v="1"/>
    <n v="44"/>
    <n v="3"/>
    <n v="1"/>
    <s v="Research Scientist"/>
    <n v="3"/>
    <s v="Married"/>
    <x v="1"/>
    <n v="2821"/>
    <n v="2997"/>
    <n v="3"/>
    <s v="Yes"/>
    <s v="No"/>
    <n v="16"/>
    <x v="0"/>
    <n v="1"/>
    <n v="80"/>
    <n v="1"/>
    <n v="8"/>
    <n v="2"/>
    <n v="3"/>
    <n v="2"/>
    <n v="2"/>
    <x v="3"/>
    <n v="2"/>
  </r>
  <r>
    <n v="50"/>
    <x v="1"/>
    <s v="Travel_Rarely"/>
    <n v="1464"/>
    <x v="1"/>
    <n v="2"/>
    <n v="4"/>
    <s v="Medical"/>
    <n v="1"/>
    <n v="1061"/>
    <n v="2"/>
    <x v="1"/>
    <n v="62"/>
    <n v="3"/>
    <n v="5"/>
    <s v="Research Director"/>
    <n v="3"/>
    <s v="Married"/>
    <x v="8"/>
    <n v="19237"/>
    <n v="12853"/>
    <n v="2"/>
    <s v="Yes"/>
    <s v="Yes"/>
    <n v="11"/>
    <x v="0"/>
    <n v="4"/>
    <n v="80"/>
    <n v="1"/>
    <n v="29"/>
    <n v="2"/>
    <n v="2"/>
    <n v="8"/>
    <n v="1"/>
    <x v="4"/>
    <n v="7"/>
  </r>
  <r>
    <n v="37"/>
    <x v="1"/>
    <s v="Travel_Rarely"/>
    <n v="124"/>
    <x v="1"/>
    <n v="3"/>
    <n v="3"/>
    <s v="Other"/>
    <n v="1"/>
    <n v="1062"/>
    <n v="4"/>
    <x v="0"/>
    <n v="35"/>
    <n v="3"/>
    <n v="2"/>
    <s v="Healthcare Representative"/>
    <n v="2"/>
    <s v="Single"/>
    <x v="4"/>
    <n v="4107"/>
    <n v="13848"/>
    <n v="3"/>
    <s v="Yes"/>
    <s v="No"/>
    <n v="15"/>
    <x v="0"/>
    <n v="1"/>
    <n v="80"/>
    <n v="0"/>
    <n v="8"/>
    <n v="3"/>
    <n v="2"/>
    <n v="4"/>
    <n v="3"/>
    <x v="0"/>
    <n v="1"/>
  </r>
  <r>
    <n v="40"/>
    <x v="1"/>
    <s v="Travel_Rarely"/>
    <n v="300"/>
    <x v="0"/>
    <n v="26"/>
    <n v="3"/>
    <s v="Marketing"/>
    <n v="1"/>
    <n v="1066"/>
    <n v="3"/>
    <x v="1"/>
    <n v="74"/>
    <n v="3"/>
    <n v="2"/>
    <s v="Sales Executive"/>
    <n v="1"/>
    <s v="Married"/>
    <x v="12"/>
    <n v="8396"/>
    <n v="22217"/>
    <n v="1"/>
    <s v="Yes"/>
    <s v="No"/>
    <n v="14"/>
    <x v="0"/>
    <n v="2"/>
    <n v="80"/>
    <n v="1"/>
    <n v="8"/>
    <n v="3"/>
    <n v="2"/>
    <n v="7"/>
    <n v="7"/>
    <x v="4"/>
    <n v="5"/>
  </r>
  <r>
    <n v="26"/>
    <x v="1"/>
    <s v="Travel_Frequently"/>
    <n v="921"/>
    <x v="1"/>
    <n v="1"/>
    <n v="1"/>
    <s v="Medical"/>
    <n v="1"/>
    <n v="1068"/>
    <n v="1"/>
    <x v="0"/>
    <n v="66"/>
    <n v="2"/>
    <n v="1"/>
    <s v="Research Scientist"/>
    <n v="3"/>
    <s v="Divorced"/>
    <x v="1"/>
    <n v="2007"/>
    <n v="25265"/>
    <n v="1"/>
    <s v="Yes"/>
    <s v="No"/>
    <n v="13"/>
    <x v="0"/>
    <n v="3"/>
    <n v="80"/>
    <n v="2"/>
    <n v="5"/>
    <n v="5"/>
    <n v="3"/>
    <n v="5"/>
    <n v="3"/>
    <x v="1"/>
    <n v="3"/>
  </r>
  <r>
    <n v="46"/>
    <x v="1"/>
    <s v="Travel_Rarely"/>
    <n v="430"/>
    <x v="1"/>
    <n v="1"/>
    <n v="4"/>
    <s v="Medical"/>
    <n v="1"/>
    <n v="1069"/>
    <n v="4"/>
    <x v="1"/>
    <n v="40"/>
    <n v="3"/>
    <n v="5"/>
    <s v="Research Director"/>
    <n v="4"/>
    <s v="Divorced"/>
    <x v="8"/>
    <n v="19627"/>
    <n v="21445"/>
    <n v="9"/>
    <s v="Yes"/>
    <s v="No"/>
    <n v="17"/>
    <x v="0"/>
    <n v="4"/>
    <n v="80"/>
    <n v="2"/>
    <n v="23"/>
    <n v="0"/>
    <n v="3"/>
    <n v="2"/>
    <n v="2"/>
    <x v="3"/>
    <n v="2"/>
  </r>
  <r>
    <n v="54"/>
    <x v="1"/>
    <s v="Travel_Rarely"/>
    <n v="1082"/>
    <x v="0"/>
    <n v="2"/>
    <n v="4"/>
    <s v="Life Sciences"/>
    <n v="1"/>
    <n v="1070"/>
    <n v="3"/>
    <x v="0"/>
    <n v="41"/>
    <n v="2"/>
    <n v="3"/>
    <s v="Sales Executive"/>
    <n v="3"/>
    <s v="Married"/>
    <x v="10"/>
    <n v="10686"/>
    <n v="8392"/>
    <n v="6"/>
    <s v="Yes"/>
    <s v="No"/>
    <n v="11"/>
    <x v="0"/>
    <n v="2"/>
    <n v="80"/>
    <n v="1"/>
    <n v="13"/>
    <n v="4"/>
    <n v="3"/>
    <n v="9"/>
    <n v="4"/>
    <x v="4"/>
    <n v="0"/>
  </r>
  <r>
    <n v="56"/>
    <x v="1"/>
    <s v="Travel_Frequently"/>
    <n v="1240"/>
    <x v="1"/>
    <n v="9"/>
    <n v="3"/>
    <s v="Medical"/>
    <n v="1"/>
    <n v="1071"/>
    <n v="1"/>
    <x v="0"/>
    <n v="63"/>
    <n v="3"/>
    <n v="1"/>
    <s v="Research Scientist"/>
    <n v="3"/>
    <s v="Married"/>
    <x v="1"/>
    <n v="2942"/>
    <n v="12154"/>
    <n v="2"/>
    <s v="Yes"/>
    <s v="No"/>
    <n v="19"/>
    <x v="0"/>
    <n v="2"/>
    <n v="80"/>
    <n v="1"/>
    <n v="18"/>
    <n v="4"/>
    <n v="3"/>
    <n v="5"/>
    <n v="4"/>
    <x v="0"/>
    <n v="3"/>
  </r>
  <r>
    <n v="36"/>
    <x v="1"/>
    <s v="Travel_Rarely"/>
    <n v="796"/>
    <x v="1"/>
    <n v="12"/>
    <n v="5"/>
    <s v="Medical"/>
    <n v="1"/>
    <n v="1073"/>
    <n v="4"/>
    <x v="0"/>
    <n v="51"/>
    <n v="2"/>
    <n v="3"/>
    <s v="Manufacturing Director"/>
    <n v="4"/>
    <s v="Single"/>
    <x v="12"/>
    <n v="8858"/>
    <n v="15669"/>
    <n v="0"/>
    <s v="Yes"/>
    <s v="No"/>
    <n v="11"/>
    <x v="0"/>
    <n v="2"/>
    <n v="80"/>
    <n v="0"/>
    <n v="15"/>
    <n v="2"/>
    <n v="2"/>
    <n v="14"/>
    <n v="8"/>
    <x v="4"/>
    <n v="8"/>
  </r>
  <r>
    <n v="55"/>
    <x v="1"/>
    <s v="Non-Travel"/>
    <n v="444"/>
    <x v="1"/>
    <n v="2"/>
    <n v="1"/>
    <s v="Medical"/>
    <n v="1"/>
    <n v="1074"/>
    <n v="3"/>
    <x v="1"/>
    <n v="40"/>
    <n v="2"/>
    <n v="4"/>
    <s v="Manager"/>
    <n v="1"/>
    <s v="Single"/>
    <x v="17"/>
    <n v="16756"/>
    <n v="17323"/>
    <n v="7"/>
    <s v="Yes"/>
    <s v="No"/>
    <n v="15"/>
    <x v="0"/>
    <n v="2"/>
    <n v="80"/>
    <n v="0"/>
    <n v="31"/>
    <n v="3"/>
    <n v="4"/>
    <n v="9"/>
    <n v="7"/>
    <x v="7"/>
    <n v="2"/>
  </r>
  <r>
    <n v="43"/>
    <x v="1"/>
    <s v="Travel_Rarely"/>
    <n v="415"/>
    <x v="0"/>
    <n v="25"/>
    <n v="3"/>
    <s v="Medical"/>
    <n v="1"/>
    <n v="1076"/>
    <n v="3"/>
    <x v="1"/>
    <n v="79"/>
    <n v="2"/>
    <n v="3"/>
    <s v="Sales Executive"/>
    <n v="4"/>
    <s v="Divorced"/>
    <x v="10"/>
    <n v="10798"/>
    <n v="5268"/>
    <n v="5"/>
    <s v="Yes"/>
    <s v="No"/>
    <n v="13"/>
    <x v="0"/>
    <n v="3"/>
    <n v="80"/>
    <n v="1"/>
    <n v="18"/>
    <n v="5"/>
    <n v="3"/>
    <n v="1"/>
    <n v="0"/>
    <x v="0"/>
    <n v="0"/>
  </r>
  <r>
    <n v="20"/>
    <x v="0"/>
    <s v="Travel_Frequently"/>
    <n v="769"/>
    <x v="0"/>
    <n v="9"/>
    <n v="3"/>
    <s v="Marketing"/>
    <n v="1"/>
    <n v="1077"/>
    <n v="4"/>
    <x v="0"/>
    <n v="54"/>
    <n v="3"/>
    <n v="1"/>
    <s v="Sales Representative"/>
    <n v="4"/>
    <s v="Single"/>
    <x v="1"/>
    <n v="2323"/>
    <n v="17205"/>
    <n v="1"/>
    <s v="Yes"/>
    <s v="Yes"/>
    <n v="14"/>
    <x v="0"/>
    <n v="2"/>
    <n v="80"/>
    <n v="0"/>
    <n v="2"/>
    <n v="3"/>
    <n v="3"/>
    <n v="2"/>
    <n v="2"/>
    <x v="0"/>
    <n v="2"/>
  </r>
  <r>
    <n v="21"/>
    <x v="0"/>
    <s v="Travel_Rarely"/>
    <n v="1334"/>
    <x v="1"/>
    <n v="10"/>
    <n v="3"/>
    <s v="Life Sciences"/>
    <n v="1"/>
    <n v="1079"/>
    <n v="3"/>
    <x v="0"/>
    <n v="36"/>
    <n v="2"/>
    <n v="1"/>
    <s v="Laboratory Technician"/>
    <n v="1"/>
    <s v="Single"/>
    <x v="7"/>
    <n v="1416"/>
    <n v="17258"/>
    <n v="1"/>
    <s v="Yes"/>
    <s v="No"/>
    <n v="13"/>
    <x v="0"/>
    <n v="1"/>
    <n v="80"/>
    <n v="0"/>
    <n v="1"/>
    <n v="6"/>
    <n v="2"/>
    <n v="1"/>
    <n v="0"/>
    <x v="1"/>
    <n v="0"/>
  </r>
  <r>
    <n v="46"/>
    <x v="1"/>
    <s v="Travel_Rarely"/>
    <n v="1003"/>
    <x v="1"/>
    <n v="8"/>
    <n v="4"/>
    <s v="Life Sciences"/>
    <n v="1"/>
    <n v="1080"/>
    <n v="4"/>
    <x v="0"/>
    <n v="74"/>
    <n v="2"/>
    <n v="2"/>
    <s v="Research Scientist"/>
    <n v="1"/>
    <s v="Divorced"/>
    <x v="4"/>
    <n v="4615"/>
    <n v="21029"/>
    <n v="8"/>
    <s v="Yes"/>
    <s v="Yes"/>
    <n v="23"/>
    <x v="1"/>
    <n v="1"/>
    <n v="80"/>
    <n v="3"/>
    <n v="19"/>
    <n v="2"/>
    <n v="3"/>
    <n v="16"/>
    <n v="13"/>
    <x v="1"/>
    <n v="7"/>
  </r>
  <r>
    <n v="51"/>
    <x v="0"/>
    <s v="Travel_Rarely"/>
    <n v="1323"/>
    <x v="1"/>
    <n v="4"/>
    <n v="4"/>
    <s v="Life Sciences"/>
    <n v="1"/>
    <n v="1081"/>
    <n v="1"/>
    <x v="1"/>
    <n v="34"/>
    <n v="3"/>
    <n v="1"/>
    <s v="Research Scientist"/>
    <n v="3"/>
    <s v="Married"/>
    <x v="1"/>
    <n v="2461"/>
    <n v="10332"/>
    <n v="9"/>
    <s v="Yes"/>
    <s v="Yes"/>
    <n v="12"/>
    <x v="0"/>
    <n v="3"/>
    <n v="80"/>
    <n v="3"/>
    <n v="18"/>
    <n v="2"/>
    <n v="4"/>
    <n v="10"/>
    <n v="0"/>
    <x v="3"/>
    <n v="7"/>
  </r>
  <r>
    <n v="28"/>
    <x v="0"/>
    <s v="Non-Travel"/>
    <n v="1366"/>
    <x v="1"/>
    <n v="24"/>
    <n v="2"/>
    <s v="Technical Degree"/>
    <n v="1"/>
    <n v="1082"/>
    <n v="2"/>
    <x v="1"/>
    <n v="72"/>
    <n v="2"/>
    <n v="3"/>
    <s v="Healthcare Representative"/>
    <n v="1"/>
    <s v="Single"/>
    <x v="12"/>
    <n v="8722"/>
    <n v="12355"/>
    <n v="1"/>
    <s v="Yes"/>
    <s v="No"/>
    <n v="12"/>
    <x v="0"/>
    <n v="1"/>
    <n v="80"/>
    <n v="0"/>
    <n v="10"/>
    <n v="2"/>
    <n v="2"/>
    <n v="10"/>
    <n v="7"/>
    <x v="1"/>
    <n v="9"/>
  </r>
  <r>
    <n v="26"/>
    <x v="1"/>
    <s v="Travel_Rarely"/>
    <n v="192"/>
    <x v="1"/>
    <n v="1"/>
    <n v="2"/>
    <s v="Medical"/>
    <n v="1"/>
    <n v="1083"/>
    <n v="1"/>
    <x v="1"/>
    <n v="59"/>
    <n v="2"/>
    <n v="1"/>
    <s v="Laboratory Technician"/>
    <n v="1"/>
    <s v="Married"/>
    <x v="2"/>
    <n v="3955"/>
    <n v="11141"/>
    <n v="1"/>
    <s v="Yes"/>
    <s v="No"/>
    <n v="16"/>
    <x v="0"/>
    <n v="1"/>
    <n v="80"/>
    <n v="2"/>
    <n v="6"/>
    <n v="2"/>
    <n v="3"/>
    <n v="5"/>
    <n v="3"/>
    <x v="1"/>
    <n v="3"/>
  </r>
  <r>
    <n v="30"/>
    <x v="1"/>
    <s v="Travel_Rarely"/>
    <n v="1176"/>
    <x v="1"/>
    <n v="20"/>
    <n v="3"/>
    <s v="Other"/>
    <n v="1"/>
    <n v="1084"/>
    <n v="3"/>
    <x v="1"/>
    <n v="85"/>
    <n v="3"/>
    <n v="2"/>
    <s v="Manufacturing Director"/>
    <n v="1"/>
    <s v="Married"/>
    <x v="3"/>
    <n v="9957"/>
    <n v="9096"/>
    <n v="0"/>
    <s v="Yes"/>
    <s v="No"/>
    <n v="15"/>
    <x v="0"/>
    <n v="3"/>
    <n v="80"/>
    <n v="1"/>
    <n v="7"/>
    <n v="1"/>
    <n v="2"/>
    <n v="6"/>
    <n v="2"/>
    <x v="0"/>
    <n v="2"/>
  </r>
  <r>
    <n v="41"/>
    <x v="1"/>
    <s v="Travel_Rarely"/>
    <n v="509"/>
    <x v="1"/>
    <n v="7"/>
    <n v="2"/>
    <s v="Technical Degree"/>
    <n v="1"/>
    <n v="1085"/>
    <n v="2"/>
    <x v="0"/>
    <n v="43"/>
    <n v="4"/>
    <n v="1"/>
    <s v="Research Scientist"/>
    <n v="3"/>
    <s v="Married"/>
    <x v="2"/>
    <n v="3376"/>
    <n v="18863"/>
    <n v="1"/>
    <s v="Yes"/>
    <s v="No"/>
    <n v="13"/>
    <x v="0"/>
    <n v="3"/>
    <n v="80"/>
    <n v="0"/>
    <n v="10"/>
    <n v="3"/>
    <n v="3"/>
    <n v="10"/>
    <n v="6"/>
    <x v="0"/>
    <n v="8"/>
  </r>
  <r>
    <n v="38"/>
    <x v="1"/>
    <s v="Travel_Rarely"/>
    <n v="330"/>
    <x v="1"/>
    <n v="17"/>
    <n v="1"/>
    <s v="Life Sciences"/>
    <n v="1"/>
    <n v="1088"/>
    <n v="3"/>
    <x v="0"/>
    <n v="65"/>
    <n v="2"/>
    <n v="3"/>
    <s v="Healthcare Representative"/>
    <n v="3"/>
    <s v="Married"/>
    <x v="12"/>
    <n v="8823"/>
    <n v="24608"/>
    <n v="0"/>
    <s v="Yes"/>
    <s v="No"/>
    <n v="18"/>
    <x v="0"/>
    <n v="1"/>
    <n v="80"/>
    <n v="1"/>
    <n v="20"/>
    <n v="4"/>
    <n v="2"/>
    <n v="19"/>
    <n v="9"/>
    <x v="1"/>
    <n v="9"/>
  </r>
  <r>
    <n v="40"/>
    <x v="1"/>
    <s v="Travel_Rarely"/>
    <n v="1492"/>
    <x v="1"/>
    <n v="20"/>
    <n v="4"/>
    <s v="Technical Degree"/>
    <n v="1"/>
    <n v="1092"/>
    <n v="1"/>
    <x v="1"/>
    <n v="61"/>
    <n v="3"/>
    <n v="3"/>
    <s v="Healthcare Representative"/>
    <n v="4"/>
    <s v="Married"/>
    <x v="10"/>
    <n v="10322"/>
    <n v="26542"/>
    <n v="4"/>
    <s v="Yes"/>
    <s v="No"/>
    <n v="20"/>
    <x v="1"/>
    <n v="4"/>
    <n v="80"/>
    <n v="1"/>
    <n v="14"/>
    <n v="6"/>
    <n v="3"/>
    <n v="11"/>
    <n v="10"/>
    <x v="14"/>
    <n v="1"/>
  </r>
  <r>
    <n v="27"/>
    <x v="1"/>
    <s v="Non-Travel"/>
    <n v="1277"/>
    <x v="1"/>
    <n v="8"/>
    <n v="5"/>
    <s v="Life Sciences"/>
    <n v="1"/>
    <n v="1094"/>
    <n v="1"/>
    <x v="1"/>
    <n v="87"/>
    <n v="1"/>
    <n v="1"/>
    <s v="Laboratory Technician"/>
    <n v="3"/>
    <s v="Married"/>
    <x v="4"/>
    <n v="4621"/>
    <n v="5869"/>
    <n v="1"/>
    <s v="Yes"/>
    <s v="No"/>
    <n v="19"/>
    <x v="0"/>
    <n v="4"/>
    <n v="80"/>
    <n v="3"/>
    <n v="3"/>
    <n v="4"/>
    <n v="3"/>
    <n v="3"/>
    <n v="2"/>
    <x v="1"/>
    <n v="2"/>
  </r>
  <r>
    <n v="55"/>
    <x v="1"/>
    <s v="Travel_Frequently"/>
    <n v="1091"/>
    <x v="1"/>
    <n v="2"/>
    <n v="1"/>
    <s v="Life Sciences"/>
    <n v="1"/>
    <n v="1096"/>
    <n v="4"/>
    <x v="1"/>
    <n v="65"/>
    <n v="3"/>
    <n v="3"/>
    <s v="Manufacturing Director"/>
    <n v="2"/>
    <s v="Married"/>
    <x v="10"/>
    <n v="10976"/>
    <n v="15813"/>
    <n v="3"/>
    <s v="Yes"/>
    <s v="No"/>
    <n v="18"/>
    <x v="0"/>
    <n v="2"/>
    <n v="80"/>
    <n v="1"/>
    <n v="23"/>
    <n v="4"/>
    <n v="3"/>
    <n v="3"/>
    <n v="2"/>
    <x v="1"/>
    <n v="2"/>
  </r>
  <r>
    <n v="28"/>
    <x v="1"/>
    <s v="Travel_Rarely"/>
    <n v="857"/>
    <x v="1"/>
    <n v="10"/>
    <n v="3"/>
    <s v="Other"/>
    <n v="1"/>
    <n v="1097"/>
    <n v="3"/>
    <x v="0"/>
    <n v="59"/>
    <n v="3"/>
    <n v="2"/>
    <s v="Research Scientist"/>
    <n v="3"/>
    <s v="Single"/>
    <x v="2"/>
    <n v="3660"/>
    <n v="7909"/>
    <n v="3"/>
    <s v="Yes"/>
    <s v="No"/>
    <n v="13"/>
    <x v="0"/>
    <n v="4"/>
    <n v="80"/>
    <n v="0"/>
    <n v="10"/>
    <n v="4"/>
    <n v="4"/>
    <n v="8"/>
    <n v="7"/>
    <x v="1"/>
    <n v="7"/>
  </r>
  <r>
    <n v="44"/>
    <x v="0"/>
    <s v="Travel_Rarely"/>
    <n v="1376"/>
    <x v="2"/>
    <n v="1"/>
    <n v="2"/>
    <s v="Medical"/>
    <n v="1"/>
    <n v="1098"/>
    <n v="2"/>
    <x v="1"/>
    <n v="91"/>
    <n v="2"/>
    <n v="3"/>
    <s v="Human Resources"/>
    <n v="1"/>
    <s v="Married"/>
    <x v="10"/>
    <n v="10482"/>
    <n v="2326"/>
    <n v="9"/>
    <s v="Yes"/>
    <s v="No"/>
    <n v="14"/>
    <x v="0"/>
    <n v="4"/>
    <n v="80"/>
    <n v="1"/>
    <n v="24"/>
    <n v="1"/>
    <n v="3"/>
    <n v="20"/>
    <n v="6"/>
    <x v="2"/>
    <n v="6"/>
  </r>
  <r>
    <n v="33"/>
    <x v="1"/>
    <s v="Travel_Rarely"/>
    <n v="654"/>
    <x v="1"/>
    <n v="5"/>
    <n v="3"/>
    <s v="Life Sciences"/>
    <n v="1"/>
    <n v="1099"/>
    <n v="4"/>
    <x v="1"/>
    <n v="34"/>
    <n v="2"/>
    <n v="3"/>
    <s v="Healthcare Representative"/>
    <n v="4"/>
    <s v="Divorced"/>
    <x v="14"/>
    <n v="7119"/>
    <n v="21214"/>
    <n v="4"/>
    <s v="Yes"/>
    <s v="No"/>
    <n v="15"/>
    <x v="0"/>
    <n v="3"/>
    <n v="80"/>
    <n v="1"/>
    <n v="9"/>
    <n v="2"/>
    <n v="3"/>
    <n v="3"/>
    <n v="2"/>
    <x v="1"/>
    <n v="2"/>
  </r>
  <r>
    <n v="35"/>
    <x v="0"/>
    <s v="Travel_Rarely"/>
    <n v="1204"/>
    <x v="0"/>
    <n v="4"/>
    <n v="3"/>
    <s v="Technical Degree"/>
    <n v="1"/>
    <n v="1100"/>
    <n v="4"/>
    <x v="1"/>
    <n v="86"/>
    <n v="3"/>
    <n v="3"/>
    <s v="Sales Executive"/>
    <n v="1"/>
    <s v="Single"/>
    <x v="3"/>
    <n v="9582"/>
    <n v="10333"/>
    <n v="0"/>
    <s v="Yes"/>
    <s v="Yes"/>
    <n v="22"/>
    <x v="1"/>
    <n v="1"/>
    <n v="80"/>
    <n v="0"/>
    <n v="9"/>
    <n v="2"/>
    <n v="3"/>
    <n v="8"/>
    <n v="7"/>
    <x v="5"/>
    <n v="7"/>
  </r>
  <r>
    <n v="33"/>
    <x v="0"/>
    <s v="Travel_Frequently"/>
    <n v="827"/>
    <x v="1"/>
    <n v="29"/>
    <n v="4"/>
    <s v="Medical"/>
    <n v="1"/>
    <n v="1101"/>
    <n v="1"/>
    <x v="0"/>
    <n v="54"/>
    <n v="2"/>
    <n v="2"/>
    <s v="Research Scientist"/>
    <n v="3"/>
    <s v="Single"/>
    <x v="4"/>
    <n v="4508"/>
    <n v="3129"/>
    <n v="1"/>
    <s v="Yes"/>
    <s v="No"/>
    <n v="22"/>
    <x v="1"/>
    <n v="2"/>
    <n v="80"/>
    <n v="0"/>
    <n v="14"/>
    <n v="4"/>
    <n v="3"/>
    <n v="13"/>
    <n v="7"/>
    <x v="2"/>
    <n v="8"/>
  </r>
  <r>
    <n v="28"/>
    <x v="1"/>
    <s v="Travel_Rarely"/>
    <n v="895"/>
    <x v="1"/>
    <n v="15"/>
    <n v="2"/>
    <s v="Life Sciences"/>
    <n v="1"/>
    <n v="1102"/>
    <n v="1"/>
    <x v="1"/>
    <n v="50"/>
    <n v="3"/>
    <n v="1"/>
    <s v="Laboratory Technician"/>
    <n v="3"/>
    <s v="Divorced"/>
    <x v="1"/>
    <n v="2207"/>
    <n v="22482"/>
    <n v="1"/>
    <s v="Yes"/>
    <s v="No"/>
    <n v="16"/>
    <x v="0"/>
    <n v="4"/>
    <n v="80"/>
    <n v="1"/>
    <n v="4"/>
    <n v="5"/>
    <n v="2"/>
    <n v="4"/>
    <n v="2"/>
    <x v="3"/>
    <n v="2"/>
  </r>
  <r>
    <n v="34"/>
    <x v="1"/>
    <s v="Travel_Frequently"/>
    <n v="618"/>
    <x v="1"/>
    <n v="3"/>
    <n v="1"/>
    <s v="Life Sciences"/>
    <n v="1"/>
    <n v="1103"/>
    <n v="1"/>
    <x v="1"/>
    <n v="45"/>
    <n v="3"/>
    <n v="2"/>
    <s v="Healthcare Representative"/>
    <n v="4"/>
    <s v="Single"/>
    <x v="14"/>
    <n v="7756"/>
    <n v="22266"/>
    <n v="0"/>
    <s v="Yes"/>
    <s v="No"/>
    <n v="17"/>
    <x v="0"/>
    <n v="3"/>
    <n v="80"/>
    <n v="0"/>
    <n v="7"/>
    <n v="1"/>
    <n v="2"/>
    <n v="6"/>
    <n v="2"/>
    <x v="0"/>
    <n v="4"/>
  </r>
  <r>
    <n v="37"/>
    <x v="1"/>
    <s v="Travel_Rarely"/>
    <n v="309"/>
    <x v="0"/>
    <n v="10"/>
    <n v="4"/>
    <s v="Life Sciences"/>
    <n v="1"/>
    <n v="1105"/>
    <n v="4"/>
    <x v="0"/>
    <n v="88"/>
    <n v="2"/>
    <n v="2"/>
    <s v="Sales Executive"/>
    <n v="4"/>
    <s v="Divorced"/>
    <x v="9"/>
    <n v="6694"/>
    <n v="24223"/>
    <n v="2"/>
    <s v="Yes"/>
    <s v="Yes"/>
    <n v="14"/>
    <x v="0"/>
    <n v="3"/>
    <n v="80"/>
    <n v="3"/>
    <n v="8"/>
    <n v="5"/>
    <n v="3"/>
    <n v="1"/>
    <n v="0"/>
    <x v="0"/>
    <n v="0"/>
  </r>
  <r>
    <n v="25"/>
    <x v="0"/>
    <s v="Travel_Rarely"/>
    <n v="1219"/>
    <x v="1"/>
    <n v="4"/>
    <n v="1"/>
    <s v="Technical Degree"/>
    <n v="1"/>
    <n v="1106"/>
    <n v="4"/>
    <x v="1"/>
    <n v="32"/>
    <n v="3"/>
    <n v="1"/>
    <s v="Laboratory Technician"/>
    <n v="4"/>
    <s v="Married"/>
    <x v="2"/>
    <n v="3691"/>
    <n v="4605"/>
    <n v="1"/>
    <s v="Yes"/>
    <s v="Yes"/>
    <n v="15"/>
    <x v="0"/>
    <n v="2"/>
    <n v="80"/>
    <n v="1"/>
    <n v="7"/>
    <n v="3"/>
    <n v="4"/>
    <n v="7"/>
    <n v="7"/>
    <x v="8"/>
    <n v="6"/>
  </r>
  <r>
    <n v="26"/>
    <x v="0"/>
    <s v="Travel_Rarely"/>
    <n v="1330"/>
    <x v="1"/>
    <n v="21"/>
    <n v="3"/>
    <s v="Medical"/>
    <n v="1"/>
    <n v="1107"/>
    <n v="1"/>
    <x v="1"/>
    <n v="37"/>
    <n v="3"/>
    <n v="1"/>
    <s v="Laboratory Technician"/>
    <n v="3"/>
    <s v="Divorced"/>
    <x v="1"/>
    <n v="2377"/>
    <n v="19373"/>
    <n v="1"/>
    <s v="Yes"/>
    <s v="No"/>
    <n v="20"/>
    <x v="1"/>
    <n v="3"/>
    <n v="80"/>
    <n v="1"/>
    <n v="1"/>
    <n v="0"/>
    <n v="2"/>
    <n v="1"/>
    <n v="1"/>
    <x v="0"/>
    <n v="0"/>
  </r>
  <r>
    <n v="33"/>
    <x v="0"/>
    <s v="Travel_Rarely"/>
    <n v="1017"/>
    <x v="1"/>
    <n v="25"/>
    <n v="3"/>
    <s v="Medical"/>
    <n v="1"/>
    <n v="1108"/>
    <n v="1"/>
    <x v="1"/>
    <n v="55"/>
    <n v="2"/>
    <n v="1"/>
    <s v="Research Scientist"/>
    <n v="2"/>
    <s v="Single"/>
    <x v="1"/>
    <n v="2313"/>
    <n v="2993"/>
    <n v="4"/>
    <s v="Yes"/>
    <s v="Yes"/>
    <n v="20"/>
    <x v="1"/>
    <n v="2"/>
    <n v="80"/>
    <n v="0"/>
    <n v="5"/>
    <n v="0"/>
    <n v="3"/>
    <n v="2"/>
    <n v="2"/>
    <x v="3"/>
    <n v="2"/>
  </r>
  <r>
    <n v="42"/>
    <x v="1"/>
    <s v="Travel_Rarely"/>
    <n v="469"/>
    <x v="1"/>
    <n v="2"/>
    <n v="2"/>
    <s v="Medical"/>
    <n v="1"/>
    <n v="1109"/>
    <n v="4"/>
    <x v="1"/>
    <n v="35"/>
    <n v="3"/>
    <n v="4"/>
    <s v="Manager"/>
    <n v="1"/>
    <s v="Married"/>
    <x v="16"/>
    <n v="17665"/>
    <n v="14399"/>
    <n v="0"/>
    <s v="Yes"/>
    <s v="No"/>
    <n v="17"/>
    <x v="0"/>
    <n v="4"/>
    <n v="80"/>
    <n v="1"/>
    <n v="23"/>
    <n v="3"/>
    <n v="3"/>
    <n v="22"/>
    <n v="6"/>
    <x v="11"/>
    <n v="7"/>
  </r>
  <r>
    <n v="28"/>
    <x v="0"/>
    <s v="Travel_Frequently"/>
    <n v="1009"/>
    <x v="1"/>
    <n v="1"/>
    <n v="3"/>
    <s v="Medical"/>
    <n v="1"/>
    <n v="1111"/>
    <n v="1"/>
    <x v="1"/>
    <n v="45"/>
    <n v="2"/>
    <n v="1"/>
    <s v="Laboratory Technician"/>
    <n v="2"/>
    <s v="Divorced"/>
    <x v="1"/>
    <n v="2596"/>
    <n v="7160"/>
    <n v="1"/>
    <s v="Yes"/>
    <s v="No"/>
    <n v="15"/>
    <x v="0"/>
    <n v="1"/>
    <n v="80"/>
    <n v="2"/>
    <n v="1"/>
    <n v="2"/>
    <n v="3"/>
    <n v="1"/>
    <n v="0"/>
    <x v="0"/>
    <n v="0"/>
  </r>
  <r>
    <n v="50"/>
    <x v="0"/>
    <s v="Travel_Frequently"/>
    <n v="959"/>
    <x v="0"/>
    <n v="1"/>
    <n v="4"/>
    <s v="Other"/>
    <n v="1"/>
    <n v="1113"/>
    <n v="4"/>
    <x v="1"/>
    <n v="81"/>
    <n v="3"/>
    <n v="2"/>
    <s v="Sales Executive"/>
    <n v="3"/>
    <s v="Single"/>
    <x v="4"/>
    <n v="4728"/>
    <n v="17251"/>
    <n v="3"/>
    <s v="Yes"/>
    <s v="Yes"/>
    <n v="14"/>
    <x v="0"/>
    <n v="4"/>
    <n v="80"/>
    <n v="0"/>
    <n v="5"/>
    <n v="4"/>
    <n v="3"/>
    <n v="0"/>
    <n v="0"/>
    <x v="0"/>
    <n v="0"/>
  </r>
  <r>
    <n v="33"/>
    <x v="1"/>
    <s v="Travel_Frequently"/>
    <n v="970"/>
    <x v="0"/>
    <n v="7"/>
    <n v="3"/>
    <s v="Life Sciences"/>
    <n v="1"/>
    <n v="1114"/>
    <n v="4"/>
    <x v="0"/>
    <n v="30"/>
    <n v="3"/>
    <n v="2"/>
    <s v="Sales Executive"/>
    <n v="2"/>
    <s v="Married"/>
    <x v="4"/>
    <n v="4302"/>
    <n v="13401"/>
    <n v="0"/>
    <s v="Yes"/>
    <s v="No"/>
    <n v="17"/>
    <x v="0"/>
    <n v="3"/>
    <n v="80"/>
    <n v="1"/>
    <n v="4"/>
    <n v="3"/>
    <n v="3"/>
    <n v="3"/>
    <n v="2"/>
    <x v="0"/>
    <n v="2"/>
  </r>
  <r>
    <n v="34"/>
    <x v="1"/>
    <s v="Non-Travel"/>
    <n v="697"/>
    <x v="1"/>
    <n v="3"/>
    <n v="4"/>
    <s v="Life Sciences"/>
    <n v="1"/>
    <n v="1115"/>
    <n v="3"/>
    <x v="1"/>
    <n v="40"/>
    <n v="2"/>
    <n v="1"/>
    <s v="Research Scientist"/>
    <n v="4"/>
    <s v="Married"/>
    <x v="1"/>
    <n v="2979"/>
    <n v="22478"/>
    <n v="3"/>
    <s v="Yes"/>
    <s v="No"/>
    <n v="17"/>
    <x v="0"/>
    <n v="4"/>
    <n v="80"/>
    <n v="3"/>
    <n v="6"/>
    <n v="2"/>
    <n v="3"/>
    <n v="0"/>
    <n v="0"/>
    <x v="0"/>
    <n v="0"/>
  </r>
  <r>
    <n v="48"/>
    <x v="1"/>
    <s v="Non-Travel"/>
    <n v="1262"/>
    <x v="1"/>
    <n v="1"/>
    <n v="4"/>
    <s v="Medical"/>
    <n v="1"/>
    <n v="1116"/>
    <n v="1"/>
    <x v="1"/>
    <n v="35"/>
    <n v="4"/>
    <n v="4"/>
    <s v="Manager"/>
    <n v="4"/>
    <s v="Single"/>
    <x v="17"/>
    <n v="16885"/>
    <n v="16154"/>
    <n v="2"/>
    <s v="Yes"/>
    <s v="No"/>
    <n v="22"/>
    <x v="1"/>
    <n v="3"/>
    <n v="80"/>
    <n v="0"/>
    <n v="27"/>
    <n v="3"/>
    <n v="2"/>
    <n v="5"/>
    <n v="4"/>
    <x v="3"/>
    <n v="1"/>
  </r>
  <r>
    <n v="45"/>
    <x v="1"/>
    <s v="Non-Travel"/>
    <n v="1050"/>
    <x v="0"/>
    <n v="9"/>
    <n v="4"/>
    <s v="Life Sciences"/>
    <n v="1"/>
    <n v="1117"/>
    <n v="2"/>
    <x v="0"/>
    <n v="65"/>
    <n v="2"/>
    <n v="2"/>
    <s v="Sales Executive"/>
    <n v="3"/>
    <s v="Married"/>
    <x v="0"/>
    <n v="5593"/>
    <n v="17970"/>
    <n v="1"/>
    <s v="Yes"/>
    <s v="No"/>
    <n v="13"/>
    <x v="0"/>
    <n v="4"/>
    <n v="80"/>
    <n v="1"/>
    <n v="15"/>
    <n v="2"/>
    <n v="3"/>
    <n v="15"/>
    <n v="10"/>
    <x v="5"/>
    <n v="12"/>
  </r>
  <r>
    <n v="52"/>
    <x v="1"/>
    <s v="Travel_Rarely"/>
    <n v="994"/>
    <x v="1"/>
    <n v="7"/>
    <n v="4"/>
    <s v="Life Sciences"/>
    <n v="1"/>
    <n v="1118"/>
    <n v="2"/>
    <x v="1"/>
    <n v="87"/>
    <n v="3"/>
    <n v="3"/>
    <s v="Healthcare Representative"/>
    <n v="2"/>
    <s v="Single"/>
    <x v="10"/>
    <n v="10445"/>
    <n v="15322"/>
    <n v="7"/>
    <s v="Yes"/>
    <s v="No"/>
    <n v="19"/>
    <x v="0"/>
    <n v="4"/>
    <n v="80"/>
    <n v="0"/>
    <n v="18"/>
    <n v="4"/>
    <n v="3"/>
    <n v="8"/>
    <n v="6"/>
    <x v="5"/>
    <n v="0"/>
  </r>
  <r>
    <n v="38"/>
    <x v="1"/>
    <s v="Travel_Rarely"/>
    <n v="770"/>
    <x v="0"/>
    <n v="10"/>
    <n v="4"/>
    <s v="Marketing"/>
    <n v="1"/>
    <n v="1119"/>
    <n v="3"/>
    <x v="1"/>
    <n v="73"/>
    <n v="2"/>
    <n v="3"/>
    <s v="Sales Executive"/>
    <n v="3"/>
    <s v="Divorced"/>
    <x v="12"/>
    <n v="8740"/>
    <n v="5569"/>
    <n v="0"/>
    <s v="Yes"/>
    <s v="Yes"/>
    <n v="14"/>
    <x v="0"/>
    <n v="2"/>
    <n v="80"/>
    <n v="2"/>
    <n v="9"/>
    <n v="2"/>
    <n v="3"/>
    <n v="8"/>
    <n v="7"/>
    <x v="3"/>
    <n v="7"/>
  </r>
  <r>
    <n v="29"/>
    <x v="1"/>
    <s v="Travel_Rarely"/>
    <n v="1107"/>
    <x v="1"/>
    <n v="28"/>
    <n v="4"/>
    <s v="Life Sciences"/>
    <n v="1"/>
    <n v="1120"/>
    <n v="3"/>
    <x v="0"/>
    <n v="93"/>
    <n v="3"/>
    <n v="1"/>
    <s v="Research Scientist"/>
    <n v="4"/>
    <s v="Divorced"/>
    <x v="1"/>
    <n v="2514"/>
    <n v="26968"/>
    <n v="4"/>
    <s v="Yes"/>
    <s v="No"/>
    <n v="22"/>
    <x v="1"/>
    <n v="1"/>
    <n v="80"/>
    <n v="1"/>
    <n v="11"/>
    <n v="1"/>
    <n v="3"/>
    <n v="7"/>
    <n v="5"/>
    <x v="1"/>
    <n v="7"/>
  </r>
  <r>
    <n v="28"/>
    <x v="1"/>
    <s v="Travel_Rarely"/>
    <n v="950"/>
    <x v="1"/>
    <n v="3"/>
    <n v="3"/>
    <s v="Medical"/>
    <n v="1"/>
    <n v="1121"/>
    <n v="4"/>
    <x v="0"/>
    <n v="93"/>
    <n v="3"/>
    <n v="3"/>
    <s v="Manufacturing Director"/>
    <n v="2"/>
    <s v="Divorced"/>
    <x v="14"/>
    <n v="7655"/>
    <n v="8039"/>
    <n v="0"/>
    <s v="Yes"/>
    <s v="No"/>
    <n v="17"/>
    <x v="0"/>
    <n v="2"/>
    <n v="80"/>
    <n v="3"/>
    <n v="10"/>
    <n v="3"/>
    <n v="2"/>
    <n v="9"/>
    <n v="7"/>
    <x v="1"/>
    <n v="7"/>
  </r>
  <r>
    <n v="46"/>
    <x v="1"/>
    <s v="Travel_Rarely"/>
    <n v="406"/>
    <x v="0"/>
    <n v="3"/>
    <n v="1"/>
    <s v="Marketing"/>
    <n v="1"/>
    <n v="1124"/>
    <n v="1"/>
    <x v="1"/>
    <n v="52"/>
    <n v="3"/>
    <n v="4"/>
    <s v="Manager"/>
    <n v="3"/>
    <s v="Married"/>
    <x v="16"/>
    <n v="17465"/>
    <n v="15596"/>
    <n v="3"/>
    <s v="Yes"/>
    <s v="No"/>
    <n v="12"/>
    <x v="0"/>
    <n v="4"/>
    <n v="80"/>
    <n v="1"/>
    <n v="23"/>
    <n v="3"/>
    <n v="3"/>
    <n v="12"/>
    <n v="9"/>
    <x v="5"/>
    <n v="9"/>
  </r>
  <r>
    <n v="38"/>
    <x v="1"/>
    <s v="Travel_Rarely"/>
    <n v="130"/>
    <x v="0"/>
    <n v="2"/>
    <n v="2"/>
    <s v="Marketing"/>
    <n v="1"/>
    <n v="1125"/>
    <n v="4"/>
    <x v="1"/>
    <n v="32"/>
    <n v="3"/>
    <n v="3"/>
    <s v="Sales Executive"/>
    <n v="2"/>
    <s v="Single"/>
    <x v="14"/>
    <n v="7351"/>
    <n v="20619"/>
    <n v="7"/>
    <s v="Yes"/>
    <s v="No"/>
    <n v="16"/>
    <x v="0"/>
    <n v="3"/>
    <n v="80"/>
    <n v="0"/>
    <n v="10"/>
    <n v="2"/>
    <n v="3"/>
    <n v="1"/>
    <n v="0"/>
    <x v="0"/>
    <n v="0"/>
  </r>
  <r>
    <n v="43"/>
    <x v="1"/>
    <s v="Travel_Frequently"/>
    <n v="1082"/>
    <x v="1"/>
    <n v="27"/>
    <n v="3"/>
    <s v="Life Sciences"/>
    <n v="1"/>
    <n v="1126"/>
    <n v="3"/>
    <x v="0"/>
    <n v="83"/>
    <n v="3"/>
    <n v="3"/>
    <s v="Manufacturing Director"/>
    <n v="1"/>
    <s v="Married"/>
    <x v="10"/>
    <n v="10820"/>
    <n v="11535"/>
    <n v="8"/>
    <s v="Yes"/>
    <s v="No"/>
    <n v="11"/>
    <x v="0"/>
    <n v="3"/>
    <n v="80"/>
    <n v="1"/>
    <n v="18"/>
    <n v="1"/>
    <n v="3"/>
    <n v="8"/>
    <n v="7"/>
    <x v="0"/>
    <n v="1"/>
  </r>
  <r>
    <n v="39"/>
    <x v="0"/>
    <s v="Travel_Frequently"/>
    <n v="203"/>
    <x v="1"/>
    <n v="2"/>
    <n v="3"/>
    <s v="Life Sciences"/>
    <n v="1"/>
    <n v="1127"/>
    <n v="1"/>
    <x v="1"/>
    <n v="84"/>
    <n v="3"/>
    <n v="4"/>
    <s v="Healthcare Representative"/>
    <n v="4"/>
    <s v="Divorced"/>
    <x v="18"/>
    <n v="12169"/>
    <n v="13547"/>
    <n v="7"/>
    <s v="Yes"/>
    <s v="No"/>
    <n v="11"/>
    <x v="0"/>
    <n v="4"/>
    <n v="80"/>
    <n v="3"/>
    <n v="21"/>
    <n v="4"/>
    <n v="3"/>
    <n v="18"/>
    <n v="7"/>
    <x v="14"/>
    <n v="5"/>
  </r>
  <r>
    <n v="40"/>
    <x v="1"/>
    <s v="Travel_Rarely"/>
    <n v="1308"/>
    <x v="1"/>
    <n v="14"/>
    <n v="3"/>
    <s v="Medical"/>
    <n v="1"/>
    <n v="1128"/>
    <n v="3"/>
    <x v="1"/>
    <n v="44"/>
    <n v="2"/>
    <n v="5"/>
    <s v="Research Director"/>
    <n v="3"/>
    <s v="Single"/>
    <x v="8"/>
    <n v="19626"/>
    <n v="17544"/>
    <n v="1"/>
    <s v="Yes"/>
    <s v="No"/>
    <n v="14"/>
    <x v="0"/>
    <n v="1"/>
    <n v="80"/>
    <n v="0"/>
    <n v="21"/>
    <n v="2"/>
    <n v="4"/>
    <n v="20"/>
    <n v="7"/>
    <x v="5"/>
    <n v="9"/>
  </r>
  <r>
    <n v="21"/>
    <x v="1"/>
    <s v="Travel_Rarely"/>
    <n v="984"/>
    <x v="1"/>
    <n v="1"/>
    <n v="1"/>
    <s v="Technical Degree"/>
    <n v="1"/>
    <n v="1131"/>
    <n v="4"/>
    <x v="0"/>
    <n v="70"/>
    <n v="2"/>
    <n v="1"/>
    <s v="Research Scientist"/>
    <n v="2"/>
    <s v="Single"/>
    <x v="1"/>
    <n v="2070"/>
    <n v="25326"/>
    <n v="1"/>
    <s v="Yes"/>
    <s v="Yes"/>
    <n v="11"/>
    <x v="0"/>
    <n v="3"/>
    <n v="80"/>
    <n v="0"/>
    <n v="2"/>
    <n v="6"/>
    <n v="4"/>
    <n v="2"/>
    <n v="2"/>
    <x v="3"/>
    <n v="2"/>
  </r>
  <r>
    <n v="39"/>
    <x v="1"/>
    <s v="Non-Travel"/>
    <n v="439"/>
    <x v="1"/>
    <n v="9"/>
    <n v="3"/>
    <s v="Life Sciences"/>
    <n v="1"/>
    <n v="1132"/>
    <n v="3"/>
    <x v="1"/>
    <n v="70"/>
    <n v="3"/>
    <n v="2"/>
    <s v="Laboratory Technician"/>
    <n v="2"/>
    <s v="Single"/>
    <x v="9"/>
    <n v="6782"/>
    <n v="8770"/>
    <n v="9"/>
    <s v="Yes"/>
    <s v="No"/>
    <n v="15"/>
    <x v="0"/>
    <n v="3"/>
    <n v="80"/>
    <n v="0"/>
    <n v="9"/>
    <n v="2"/>
    <n v="2"/>
    <n v="5"/>
    <n v="4"/>
    <x v="0"/>
    <n v="3"/>
  </r>
  <r>
    <n v="36"/>
    <x v="1"/>
    <s v="Non-Travel"/>
    <n v="217"/>
    <x v="1"/>
    <n v="18"/>
    <n v="4"/>
    <s v="Life Sciences"/>
    <n v="1"/>
    <n v="1133"/>
    <n v="1"/>
    <x v="1"/>
    <n v="78"/>
    <n v="3"/>
    <n v="2"/>
    <s v="Manufacturing Director"/>
    <n v="4"/>
    <s v="Single"/>
    <x v="14"/>
    <n v="7779"/>
    <n v="23238"/>
    <n v="2"/>
    <s v="Yes"/>
    <s v="No"/>
    <n v="20"/>
    <x v="1"/>
    <n v="1"/>
    <n v="80"/>
    <n v="0"/>
    <n v="18"/>
    <n v="0"/>
    <n v="3"/>
    <n v="11"/>
    <n v="9"/>
    <x v="0"/>
    <n v="9"/>
  </r>
  <r>
    <n v="31"/>
    <x v="1"/>
    <s v="Travel_Frequently"/>
    <n v="793"/>
    <x v="0"/>
    <n v="20"/>
    <n v="3"/>
    <s v="Life Sciences"/>
    <n v="1"/>
    <n v="1135"/>
    <n v="3"/>
    <x v="1"/>
    <n v="67"/>
    <n v="4"/>
    <n v="1"/>
    <s v="Sales Representative"/>
    <n v="4"/>
    <s v="Married"/>
    <x v="1"/>
    <n v="2791"/>
    <n v="21981"/>
    <n v="0"/>
    <s v="Yes"/>
    <s v="No"/>
    <n v="12"/>
    <x v="0"/>
    <n v="1"/>
    <n v="80"/>
    <n v="1"/>
    <n v="3"/>
    <n v="4"/>
    <n v="3"/>
    <n v="2"/>
    <n v="2"/>
    <x v="3"/>
    <n v="2"/>
  </r>
  <r>
    <n v="28"/>
    <x v="1"/>
    <s v="Travel_Rarely"/>
    <n v="1451"/>
    <x v="1"/>
    <n v="2"/>
    <n v="1"/>
    <s v="Life Sciences"/>
    <n v="1"/>
    <n v="1136"/>
    <n v="1"/>
    <x v="1"/>
    <n v="67"/>
    <n v="2"/>
    <n v="1"/>
    <s v="Research Scientist"/>
    <n v="2"/>
    <s v="Married"/>
    <x v="2"/>
    <n v="3201"/>
    <n v="19911"/>
    <n v="0"/>
    <s v="Yes"/>
    <s v="No"/>
    <n v="17"/>
    <x v="0"/>
    <n v="1"/>
    <n v="80"/>
    <n v="0"/>
    <n v="6"/>
    <n v="2"/>
    <n v="1"/>
    <n v="5"/>
    <n v="3"/>
    <x v="0"/>
    <n v="4"/>
  </r>
  <r>
    <n v="35"/>
    <x v="1"/>
    <s v="Travel_Frequently"/>
    <n v="1182"/>
    <x v="0"/>
    <n v="11"/>
    <n v="2"/>
    <s v="Marketing"/>
    <n v="1"/>
    <n v="1137"/>
    <n v="4"/>
    <x v="1"/>
    <n v="54"/>
    <n v="3"/>
    <n v="2"/>
    <s v="Sales Executive"/>
    <n v="4"/>
    <s v="Divorced"/>
    <x v="4"/>
    <n v="4968"/>
    <n v="18500"/>
    <n v="1"/>
    <s v="Yes"/>
    <s v="No"/>
    <n v="11"/>
    <x v="0"/>
    <n v="4"/>
    <n v="80"/>
    <n v="1"/>
    <n v="5"/>
    <n v="3"/>
    <n v="3"/>
    <n v="5"/>
    <n v="2"/>
    <x v="0"/>
    <n v="2"/>
  </r>
  <r>
    <n v="49"/>
    <x v="1"/>
    <s v="Travel_Rarely"/>
    <n v="174"/>
    <x v="0"/>
    <n v="8"/>
    <n v="4"/>
    <s v="Technical Degree"/>
    <n v="1"/>
    <n v="1138"/>
    <n v="4"/>
    <x v="1"/>
    <n v="56"/>
    <n v="2"/>
    <n v="4"/>
    <s v="Sales Executive"/>
    <n v="2"/>
    <s v="Married"/>
    <x v="13"/>
    <n v="13120"/>
    <n v="11879"/>
    <n v="6"/>
    <s v="Yes"/>
    <s v="No"/>
    <n v="17"/>
    <x v="0"/>
    <n v="2"/>
    <n v="80"/>
    <n v="1"/>
    <n v="22"/>
    <n v="3"/>
    <n v="3"/>
    <n v="9"/>
    <n v="8"/>
    <x v="3"/>
    <n v="3"/>
  </r>
  <r>
    <n v="34"/>
    <x v="1"/>
    <s v="Travel_Frequently"/>
    <n v="1003"/>
    <x v="1"/>
    <n v="2"/>
    <n v="2"/>
    <s v="Life Sciences"/>
    <n v="1"/>
    <n v="1140"/>
    <n v="4"/>
    <x v="1"/>
    <n v="95"/>
    <n v="3"/>
    <n v="2"/>
    <s v="Manufacturing Director"/>
    <n v="3"/>
    <s v="Single"/>
    <x v="4"/>
    <n v="4033"/>
    <n v="15834"/>
    <n v="2"/>
    <s v="Yes"/>
    <s v="No"/>
    <n v="11"/>
    <x v="0"/>
    <n v="4"/>
    <n v="80"/>
    <n v="0"/>
    <n v="5"/>
    <n v="3"/>
    <n v="2"/>
    <n v="3"/>
    <n v="2"/>
    <x v="0"/>
    <n v="2"/>
  </r>
  <r>
    <n v="29"/>
    <x v="1"/>
    <s v="Travel_Frequently"/>
    <n v="490"/>
    <x v="1"/>
    <n v="10"/>
    <n v="3"/>
    <s v="Life Sciences"/>
    <n v="1"/>
    <n v="1143"/>
    <n v="4"/>
    <x v="0"/>
    <n v="61"/>
    <n v="3"/>
    <n v="1"/>
    <s v="Research Scientist"/>
    <n v="2"/>
    <s v="Divorced"/>
    <x v="2"/>
    <n v="3291"/>
    <n v="17940"/>
    <n v="0"/>
    <s v="Yes"/>
    <s v="No"/>
    <n v="14"/>
    <x v="0"/>
    <n v="4"/>
    <n v="80"/>
    <n v="2"/>
    <n v="8"/>
    <n v="2"/>
    <n v="2"/>
    <n v="7"/>
    <n v="5"/>
    <x v="1"/>
    <n v="1"/>
  </r>
  <r>
    <n v="42"/>
    <x v="1"/>
    <s v="Travel_Rarely"/>
    <n v="188"/>
    <x v="1"/>
    <n v="29"/>
    <n v="3"/>
    <s v="Medical"/>
    <n v="1"/>
    <n v="1148"/>
    <n v="2"/>
    <x v="1"/>
    <n v="56"/>
    <n v="1"/>
    <n v="2"/>
    <s v="Laboratory Technician"/>
    <n v="4"/>
    <s v="Single"/>
    <x v="4"/>
    <n v="4272"/>
    <n v="9558"/>
    <n v="4"/>
    <s v="Yes"/>
    <s v="No"/>
    <n v="19"/>
    <x v="0"/>
    <n v="1"/>
    <n v="80"/>
    <n v="0"/>
    <n v="16"/>
    <n v="3"/>
    <n v="3"/>
    <n v="1"/>
    <n v="0"/>
    <x v="0"/>
    <n v="0"/>
  </r>
  <r>
    <n v="29"/>
    <x v="1"/>
    <s v="Travel_Rarely"/>
    <n v="718"/>
    <x v="1"/>
    <n v="8"/>
    <n v="1"/>
    <s v="Medical"/>
    <n v="1"/>
    <n v="1150"/>
    <n v="2"/>
    <x v="1"/>
    <n v="79"/>
    <n v="2"/>
    <n v="2"/>
    <s v="Manufacturing Director"/>
    <n v="4"/>
    <s v="Married"/>
    <x v="0"/>
    <n v="5056"/>
    <n v="17689"/>
    <n v="1"/>
    <s v="Yes"/>
    <s v="Yes"/>
    <n v="15"/>
    <x v="0"/>
    <n v="3"/>
    <n v="80"/>
    <n v="1"/>
    <n v="10"/>
    <n v="2"/>
    <n v="2"/>
    <n v="10"/>
    <n v="7"/>
    <x v="1"/>
    <n v="2"/>
  </r>
  <r>
    <n v="38"/>
    <x v="1"/>
    <s v="Travel_Rarely"/>
    <n v="433"/>
    <x v="2"/>
    <n v="1"/>
    <n v="3"/>
    <s v="Human Resources"/>
    <n v="1"/>
    <n v="1152"/>
    <n v="3"/>
    <x v="1"/>
    <n v="37"/>
    <n v="4"/>
    <n v="1"/>
    <s v="Human Resources"/>
    <n v="3"/>
    <s v="Married"/>
    <x v="1"/>
    <n v="2844"/>
    <n v="6004"/>
    <n v="1"/>
    <s v="Yes"/>
    <s v="No"/>
    <n v="13"/>
    <x v="0"/>
    <n v="4"/>
    <n v="80"/>
    <n v="1"/>
    <n v="7"/>
    <n v="2"/>
    <n v="4"/>
    <n v="7"/>
    <n v="6"/>
    <x v="8"/>
    <n v="0"/>
  </r>
  <r>
    <n v="28"/>
    <x v="1"/>
    <s v="Travel_Frequently"/>
    <n v="773"/>
    <x v="1"/>
    <n v="6"/>
    <n v="3"/>
    <s v="Life Sciences"/>
    <n v="1"/>
    <n v="1154"/>
    <n v="3"/>
    <x v="1"/>
    <n v="39"/>
    <n v="2"/>
    <n v="1"/>
    <s v="Research Scientist"/>
    <n v="3"/>
    <s v="Divorced"/>
    <x v="1"/>
    <n v="2703"/>
    <n v="22088"/>
    <n v="1"/>
    <s v="Yes"/>
    <s v="Yes"/>
    <n v="14"/>
    <x v="0"/>
    <n v="4"/>
    <n v="80"/>
    <n v="1"/>
    <n v="3"/>
    <n v="2"/>
    <n v="3"/>
    <n v="3"/>
    <n v="1"/>
    <x v="0"/>
    <n v="2"/>
  </r>
  <r>
    <n v="18"/>
    <x v="0"/>
    <s v="Non-Travel"/>
    <n v="247"/>
    <x v="1"/>
    <n v="8"/>
    <n v="1"/>
    <s v="Medical"/>
    <n v="1"/>
    <n v="1156"/>
    <n v="3"/>
    <x v="1"/>
    <n v="80"/>
    <n v="3"/>
    <n v="1"/>
    <s v="Laboratory Technician"/>
    <n v="3"/>
    <s v="Single"/>
    <x v="7"/>
    <n v="1904"/>
    <n v="13556"/>
    <n v="1"/>
    <s v="Yes"/>
    <s v="No"/>
    <n v="12"/>
    <x v="0"/>
    <n v="4"/>
    <n v="80"/>
    <n v="0"/>
    <n v="0"/>
    <n v="0"/>
    <n v="3"/>
    <n v="0"/>
    <n v="0"/>
    <x v="0"/>
    <n v="0"/>
  </r>
  <r>
    <n v="33"/>
    <x v="0"/>
    <s v="Travel_Rarely"/>
    <n v="603"/>
    <x v="0"/>
    <n v="9"/>
    <n v="4"/>
    <s v="Marketing"/>
    <n v="1"/>
    <n v="1157"/>
    <n v="1"/>
    <x v="0"/>
    <n v="77"/>
    <n v="3"/>
    <n v="2"/>
    <s v="Sales Executive"/>
    <n v="1"/>
    <s v="Single"/>
    <x v="12"/>
    <n v="8224"/>
    <n v="18385"/>
    <n v="0"/>
    <s v="Yes"/>
    <s v="Yes"/>
    <n v="17"/>
    <x v="0"/>
    <n v="1"/>
    <n v="80"/>
    <n v="0"/>
    <n v="6"/>
    <n v="3"/>
    <n v="3"/>
    <n v="5"/>
    <n v="2"/>
    <x v="0"/>
    <n v="3"/>
  </r>
  <r>
    <n v="41"/>
    <x v="1"/>
    <s v="Travel_Rarely"/>
    <n v="167"/>
    <x v="1"/>
    <n v="12"/>
    <n v="4"/>
    <s v="Life Sciences"/>
    <n v="1"/>
    <n v="1158"/>
    <n v="2"/>
    <x v="1"/>
    <n v="46"/>
    <n v="3"/>
    <n v="1"/>
    <s v="Laboratory Technician"/>
    <n v="4"/>
    <s v="Married"/>
    <x v="4"/>
    <n v="4766"/>
    <n v="9051"/>
    <n v="3"/>
    <s v="Yes"/>
    <s v="Yes"/>
    <n v="11"/>
    <x v="0"/>
    <n v="1"/>
    <n v="80"/>
    <n v="1"/>
    <n v="6"/>
    <n v="4"/>
    <n v="3"/>
    <n v="1"/>
    <n v="0"/>
    <x v="0"/>
    <n v="0"/>
  </r>
  <r>
    <n v="31"/>
    <x v="0"/>
    <s v="Travel_Frequently"/>
    <n v="874"/>
    <x v="1"/>
    <n v="15"/>
    <n v="3"/>
    <s v="Medical"/>
    <n v="1"/>
    <n v="1160"/>
    <n v="3"/>
    <x v="1"/>
    <n v="72"/>
    <n v="3"/>
    <n v="1"/>
    <s v="Laboratory Technician"/>
    <n v="3"/>
    <s v="Married"/>
    <x v="1"/>
    <n v="2610"/>
    <n v="6233"/>
    <n v="1"/>
    <s v="Yes"/>
    <s v="No"/>
    <n v="12"/>
    <x v="0"/>
    <n v="3"/>
    <n v="80"/>
    <n v="1"/>
    <n v="2"/>
    <n v="5"/>
    <n v="2"/>
    <n v="2"/>
    <n v="2"/>
    <x v="3"/>
    <n v="2"/>
  </r>
  <r>
    <n v="37"/>
    <x v="1"/>
    <s v="Travel_Rarely"/>
    <n v="367"/>
    <x v="1"/>
    <n v="25"/>
    <n v="2"/>
    <s v="Medical"/>
    <n v="1"/>
    <n v="1161"/>
    <n v="3"/>
    <x v="0"/>
    <n v="52"/>
    <n v="2"/>
    <n v="2"/>
    <s v="Healthcare Representative"/>
    <n v="4"/>
    <s v="Divorced"/>
    <x v="0"/>
    <n v="5731"/>
    <n v="17171"/>
    <n v="7"/>
    <s v="Yes"/>
    <s v="No"/>
    <n v="13"/>
    <x v="0"/>
    <n v="3"/>
    <n v="80"/>
    <n v="2"/>
    <n v="9"/>
    <n v="2"/>
    <n v="3"/>
    <n v="6"/>
    <n v="2"/>
    <x v="1"/>
    <n v="3"/>
  </r>
  <r>
    <n v="27"/>
    <x v="1"/>
    <s v="Travel_Rarely"/>
    <n v="199"/>
    <x v="1"/>
    <n v="6"/>
    <n v="3"/>
    <s v="Life Sciences"/>
    <n v="1"/>
    <n v="1162"/>
    <n v="4"/>
    <x v="1"/>
    <n v="55"/>
    <n v="2"/>
    <n v="1"/>
    <s v="Research Scientist"/>
    <n v="3"/>
    <s v="Married"/>
    <x v="1"/>
    <n v="2539"/>
    <n v="7950"/>
    <n v="1"/>
    <s v="Yes"/>
    <s v="No"/>
    <n v="13"/>
    <x v="0"/>
    <n v="3"/>
    <n v="80"/>
    <n v="1"/>
    <n v="4"/>
    <n v="0"/>
    <n v="3"/>
    <n v="4"/>
    <n v="2"/>
    <x v="3"/>
    <n v="2"/>
  </r>
  <r>
    <n v="34"/>
    <x v="1"/>
    <s v="Travel_Rarely"/>
    <n v="1400"/>
    <x v="0"/>
    <n v="9"/>
    <n v="1"/>
    <s v="Life Sciences"/>
    <n v="1"/>
    <n v="1163"/>
    <n v="2"/>
    <x v="0"/>
    <n v="70"/>
    <n v="3"/>
    <n v="2"/>
    <s v="Sales Executive"/>
    <n v="3"/>
    <s v="Married"/>
    <x v="0"/>
    <n v="5714"/>
    <n v="5829"/>
    <n v="1"/>
    <s v="Yes"/>
    <s v="No"/>
    <n v="20"/>
    <x v="1"/>
    <n v="1"/>
    <n v="80"/>
    <n v="0"/>
    <n v="6"/>
    <n v="3"/>
    <n v="2"/>
    <n v="6"/>
    <n v="5"/>
    <x v="1"/>
    <n v="3"/>
  </r>
  <r>
    <n v="35"/>
    <x v="1"/>
    <s v="Travel_Rarely"/>
    <n v="528"/>
    <x v="2"/>
    <n v="8"/>
    <n v="4"/>
    <s v="Technical Degree"/>
    <n v="1"/>
    <n v="1164"/>
    <n v="3"/>
    <x v="1"/>
    <n v="100"/>
    <n v="3"/>
    <n v="1"/>
    <s v="Human Resources"/>
    <n v="3"/>
    <s v="Single"/>
    <x v="4"/>
    <n v="4323"/>
    <n v="7108"/>
    <n v="1"/>
    <s v="Yes"/>
    <s v="No"/>
    <n v="17"/>
    <x v="0"/>
    <n v="2"/>
    <n v="80"/>
    <n v="0"/>
    <n v="6"/>
    <n v="2"/>
    <n v="1"/>
    <n v="5"/>
    <n v="4"/>
    <x v="1"/>
    <n v="4"/>
  </r>
  <r>
    <n v="29"/>
    <x v="0"/>
    <s v="Travel_Rarely"/>
    <n v="408"/>
    <x v="0"/>
    <n v="23"/>
    <n v="1"/>
    <s v="Life Sciences"/>
    <n v="1"/>
    <n v="1165"/>
    <n v="4"/>
    <x v="0"/>
    <n v="45"/>
    <n v="2"/>
    <n v="3"/>
    <s v="Sales Executive"/>
    <n v="1"/>
    <s v="Married"/>
    <x v="14"/>
    <n v="7336"/>
    <n v="11162"/>
    <n v="1"/>
    <s v="Yes"/>
    <s v="No"/>
    <n v="13"/>
    <x v="0"/>
    <n v="1"/>
    <n v="80"/>
    <n v="1"/>
    <n v="11"/>
    <n v="3"/>
    <n v="1"/>
    <n v="11"/>
    <n v="8"/>
    <x v="2"/>
    <n v="10"/>
  </r>
  <r>
    <n v="40"/>
    <x v="1"/>
    <s v="Travel_Frequently"/>
    <n v="593"/>
    <x v="1"/>
    <n v="9"/>
    <n v="4"/>
    <s v="Medical"/>
    <n v="1"/>
    <n v="1166"/>
    <n v="2"/>
    <x v="0"/>
    <n v="88"/>
    <n v="3"/>
    <n v="3"/>
    <s v="Research Director"/>
    <n v="3"/>
    <s v="Single"/>
    <x v="13"/>
    <n v="13499"/>
    <n v="13782"/>
    <n v="9"/>
    <s v="Yes"/>
    <s v="No"/>
    <n v="17"/>
    <x v="0"/>
    <n v="3"/>
    <n v="80"/>
    <n v="0"/>
    <n v="20"/>
    <n v="3"/>
    <n v="2"/>
    <n v="18"/>
    <n v="7"/>
    <x v="3"/>
    <n v="13"/>
  </r>
  <r>
    <n v="42"/>
    <x v="0"/>
    <s v="Travel_Frequently"/>
    <n v="481"/>
    <x v="0"/>
    <n v="12"/>
    <n v="3"/>
    <s v="Life Sciences"/>
    <n v="1"/>
    <n v="1167"/>
    <n v="3"/>
    <x v="1"/>
    <n v="44"/>
    <n v="3"/>
    <n v="4"/>
    <s v="Sales Executive"/>
    <n v="1"/>
    <s v="Single"/>
    <x v="13"/>
    <n v="13758"/>
    <n v="2447"/>
    <n v="0"/>
    <s v="Yes"/>
    <s v="Yes"/>
    <n v="12"/>
    <x v="0"/>
    <n v="2"/>
    <n v="80"/>
    <n v="0"/>
    <n v="22"/>
    <n v="2"/>
    <n v="2"/>
    <n v="21"/>
    <n v="9"/>
    <x v="11"/>
    <n v="14"/>
  </r>
  <r>
    <n v="42"/>
    <x v="1"/>
    <s v="Travel_Rarely"/>
    <n v="647"/>
    <x v="0"/>
    <n v="4"/>
    <n v="4"/>
    <s v="Marketing"/>
    <n v="1"/>
    <n v="1171"/>
    <n v="2"/>
    <x v="1"/>
    <n v="45"/>
    <n v="3"/>
    <n v="2"/>
    <s v="Sales Executive"/>
    <n v="1"/>
    <s v="Single"/>
    <x v="0"/>
    <n v="5155"/>
    <n v="2253"/>
    <n v="7"/>
    <s v="Yes"/>
    <s v="No"/>
    <n v="13"/>
    <x v="0"/>
    <n v="4"/>
    <n v="80"/>
    <n v="0"/>
    <n v="9"/>
    <n v="3"/>
    <n v="4"/>
    <n v="6"/>
    <n v="4"/>
    <x v="1"/>
    <n v="5"/>
  </r>
  <r>
    <n v="35"/>
    <x v="1"/>
    <s v="Travel_Rarely"/>
    <n v="982"/>
    <x v="1"/>
    <n v="1"/>
    <n v="4"/>
    <s v="Medical"/>
    <n v="1"/>
    <n v="1172"/>
    <n v="4"/>
    <x v="1"/>
    <n v="58"/>
    <n v="2"/>
    <n v="1"/>
    <s v="Laboratory Technician"/>
    <n v="3"/>
    <s v="Married"/>
    <x v="1"/>
    <n v="2258"/>
    <n v="16340"/>
    <n v="6"/>
    <s v="Yes"/>
    <s v="No"/>
    <n v="12"/>
    <x v="0"/>
    <n v="2"/>
    <n v="80"/>
    <n v="1"/>
    <n v="10"/>
    <n v="2"/>
    <n v="3"/>
    <n v="8"/>
    <n v="0"/>
    <x v="1"/>
    <n v="7"/>
  </r>
  <r>
    <n v="24"/>
    <x v="1"/>
    <s v="Travel_Rarely"/>
    <n v="477"/>
    <x v="1"/>
    <n v="24"/>
    <n v="3"/>
    <s v="Medical"/>
    <n v="1"/>
    <n v="1173"/>
    <n v="4"/>
    <x v="1"/>
    <n v="49"/>
    <n v="3"/>
    <n v="1"/>
    <s v="Laboratory Technician"/>
    <n v="2"/>
    <s v="Single"/>
    <x v="2"/>
    <n v="3597"/>
    <n v="6409"/>
    <n v="8"/>
    <s v="Yes"/>
    <s v="No"/>
    <n v="22"/>
    <x v="1"/>
    <n v="4"/>
    <n v="80"/>
    <n v="0"/>
    <n v="6"/>
    <n v="2"/>
    <n v="3"/>
    <n v="4"/>
    <n v="3"/>
    <x v="1"/>
    <n v="2"/>
  </r>
  <r>
    <n v="28"/>
    <x v="0"/>
    <s v="Travel_Rarely"/>
    <n v="1485"/>
    <x v="1"/>
    <n v="12"/>
    <n v="1"/>
    <s v="Life Sciences"/>
    <n v="1"/>
    <n v="1175"/>
    <n v="3"/>
    <x v="0"/>
    <n v="79"/>
    <n v="3"/>
    <n v="1"/>
    <s v="Laboratory Technician"/>
    <n v="4"/>
    <s v="Married"/>
    <x v="1"/>
    <n v="2515"/>
    <n v="22955"/>
    <n v="1"/>
    <s v="Yes"/>
    <s v="Yes"/>
    <n v="11"/>
    <x v="0"/>
    <n v="4"/>
    <n v="80"/>
    <n v="0"/>
    <n v="1"/>
    <n v="4"/>
    <n v="2"/>
    <n v="1"/>
    <n v="1"/>
    <x v="0"/>
    <n v="0"/>
  </r>
  <r>
    <n v="26"/>
    <x v="1"/>
    <s v="Travel_Rarely"/>
    <n v="1384"/>
    <x v="1"/>
    <n v="3"/>
    <n v="4"/>
    <s v="Medical"/>
    <n v="1"/>
    <n v="1177"/>
    <n v="1"/>
    <x v="1"/>
    <n v="82"/>
    <n v="4"/>
    <n v="1"/>
    <s v="Laboratory Technician"/>
    <n v="4"/>
    <s v="Married"/>
    <x v="4"/>
    <n v="4420"/>
    <n v="13421"/>
    <n v="1"/>
    <s v="Yes"/>
    <s v="No"/>
    <n v="22"/>
    <x v="1"/>
    <n v="2"/>
    <n v="80"/>
    <n v="1"/>
    <n v="8"/>
    <n v="2"/>
    <n v="3"/>
    <n v="8"/>
    <n v="7"/>
    <x v="0"/>
    <n v="7"/>
  </r>
  <r>
    <n v="30"/>
    <x v="1"/>
    <s v="Travel_Rarely"/>
    <n v="852"/>
    <x v="0"/>
    <n v="10"/>
    <n v="3"/>
    <s v="Marketing"/>
    <n v="1"/>
    <n v="1179"/>
    <n v="3"/>
    <x v="1"/>
    <n v="72"/>
    <n v="2"/>
    <n v="2"/>
    <s v="Sales Executive"/>
    <n v="3"/>
    <s v="Married"/>
    <x v="9"/>
    <n v="6578"/>
    <n v="2706"/>
    <n v="1"/>
    <s v="Yes"/>
    <s v="No"/>
    <n v="18"/>
    <x v="0"/>
    <n v="1"/>
    <n v="80"/>
    <n v="1"/>
    <n v="10"/>
    <n v="3"/>
    <n v="3"/>
    <n v="10"/>
    <n v="3"/>
    <x v="1"/>
    <n v="4"/>
  </r>
  <r>
    <n v="40"/>
    <x v="1"/>
    <s v="Travel_Frequently"/>
    <n v="902"/>
    <x v="1"/>
    <n v="26"/>
    <n v="2"/>
    <s v="Medical"/>
    <n v="1"/>
    <n v="1180"/>
    <n v="3"/>
    <x v="0"/>
    <n v="92"/>
    <n v="2"/>
    <n v="2"/>
    <s v="Research Scientist"/>
    <n v="4"/>
    <s v="Married"/>
    <x v="4"/>
    <n v="4422"/>
    <n v="21203"/>
    <n v="3"/>
    <s v="Yes"/>
    <s v="Yes"/>
    <n v="13"/>
    <x v="0"/>
    <n v="4"/>
    <n v="80"/>
    <n v="1"/>
    <n v="16"/>
    <n v="3"/>
    <n v="1"/>
    <n v="1"/>
    <n v="1"/>
    <x v="0"/>
    <n v="0"/>
  </r>
  <r>
    <n v="35"/>
    <x v="1"/>
    <s v="Travel_Rarely"/>
    <n v="819"/>
    <x v="1"/>
    <n v="2"/>
    <n v="3"/>
    <s v="Life Sciences"/>
    <n v="1"/>
    <n v="1182"/>
    <n v="3"/>
    <x v="1"/>
    <n v="44"/>
    <n v="2"/>
    <n v="3"/>
    <s v="Manufacturing Director"/>
    <n v="2"/>
    <s v="Divorced"/>
    <x v="10"/>
    <n v="10274"/>
    <n v="19588"/>
    <n v="2"/>
    <s v="Yes"/>
    <s v="No"/>
    <n v="18"/>
    <x v="0"/>
    <n v="2"/>
    <n v="80"/>
    <n v="1"/>
    <n v="15"/>
    <n v="2"/>
    <n v="4"/>
    <n v="7"/>
    <n v="7"/>
    <x v="7"/>
    <n v="4"/>
  </r>
  <r>
    <n v="34"/>
    <x v="1"/>
    <s v="Travel_Frequently"/>
    <n v="669"/>
    <x v="1"/>
    <n v="1"/>
    <n v="3"/>
    <s v="Medical"/>
    <n v="1"/>
    <n v="1184"/>
    <n v="4"/>
    <x v="1"/>
    <n v="97"/>
    <n v="2"/>
    <n v="2"/>
    <s v="Healthcare Representative"/>
    <n v="1"/>
    <s v="Single"/>
    <x v="0"/>
    <n v="5343"/>
    <n v="25755"/>
    <n v="0"/>
    <s v="Yes"/>
    <s v="No"/>
    <n v="20"/>
    <x v="1"/>
    <n v="3"/>
    <n v="80"/>
    <n v="0"/>
    <n v="14"/>
    <n v="3"/>
    <n v="3"/>
    <n v="13"/>
    <n v="9"/>
    <x v="5"/>
    <n v="9"/>
  </r>
  <r>
    <n v="35"/>
    <x v="1"/>
    <s v="Travel_Frequently"/>
    <n v="636"/>
    <x v="1"/>
    <n v="4"/>
    <n v="4"/>
    <s v="Other"/>
    <n v="1"/>
    <n v="1185"/>
    <n v="4"/>
    <x v="1"/>
    <n v="47"/>
    <n v="2"/>
    <n v="1"/>
    <s v="Laboratory Technician"/>
    <n v="4"/>
    <s v="Married"/>
    <x v="1"/>
    <n v="2376"/>
    <n v="26537"/>
    <n v="1"/>
    <s v="Yes"/>
    <s v="No"/>
    <n v="13"/>
    <x v="0"/>
    <n v="2"/>
    <n v="80"/>
    <n v="1"/>
    <n v="2"/>
    <n v="2"/>
    <n v="4"/>
    <n v="2"/>
    <n v="2"/>
    <x v="3"/>
    <n v="2"/>
  </r>
  <r>
    <n v="43"/>
    <x v="0"/>
    <s v="Travel_Rarely"/>
    <n v="1372"/>
    <x v="0"/>
    <n v="9"/>
    <n v="3"/>
    <s v="Marketing"/>
    <n v="1"/>
    <n v="1188"/>
    <n v="1"/>
    <x v="0"/>
    <n v="85"/>
    <n v="1"/>
    <n v="2"/>
    <s v="Sales Executive"/>
    <n v="3"/>
    <s v="Single"/>
    <x v="0"/>
    <n v="5346"/>
    <n v="9489"/>
    <n v="8"/>
    <s v="Yes"/>
    <s v="No"/>
    <n v="13"/>
    <x v="0"/>
    <n v="2"/>
    <n v="80"/>
    <n v="0"/>
    <n v="7"/>
    <n v="2"/>
    <n v="2"/>
    <n v="4"/>
    <n v="3"/>
    <x v="1"/>
    <n v="3"/>
  </r>
  <r>
    <n v="32"/>
    <x v="1"/>
    <s v="Non-Travel"/>
    <n v="862"/>
    <x v="0"/>
    <n v="2"/>
    <n v="1"/>
    <s v="Life Sciences"/>
    <n v="1"/>
    <n v="1190"/>
    <n v="3"/>
    <x v="0"/>
    <n v="76"/>
    <n v="3"/>
    <n v="1"/>
    <s v="Sales Representative"/>
    <n v="1"/>
    <s v="Divorced"/>
    <x v="1"/>
    <n v="2827"/>
    <n v="14947"/>
    <n v="1"/>
    <s v="Yes"/>
    <s v="No"/>
    <n v="12"/>
    <x v="0"/>
    <n v="3"/>
    <n v="80"/>
    <n v="3"/>
    <n v="1"/>
    <n v="3"/>
    <n v="3"/>
    <n v="1"/>
    <n v="0"/>
    <x v="0"/>
    <n v="0"/>
  </r>
  <r>
    <n v="56"/>
    <x v="1"/>
    <s v="Travel_Rarely"/>
    <n v="718"/>
    <x v="1"/>
    <n v="4"/>
    <n v="4"/>
    <s v="Technical Degree"/>
    <n v="1"/>
    <n v="1191"/>
    <n v="4"/>
    <x v="0"/>
    <n v="92"/>
    <n v="3"/>
    <n v="5"/>
    <s v="Manager"/>
    <n v="1"/>
    <s v="Divorced"/>
    <x v="8"/>
    <n v="19943"/>
    <n v="18575"/>
    <n v="4"/>
    <s v="Yes"/>
    <s v="No"/>
    <n v="13"/>
    <x v="0"/>
    <n v="4"/>
    <n v="80"/>
    <n v="1"/>
    <n v="28"/>
    <n v="2"/>
    <n v="3"/>
    <n v="5"/>
    <n v="2"/>
    <x v="5"/>
    <n v="2"/>
  </r>
  <r>
    <n v="29"/>
    <x v="1"/>
    <s v="Travel_Rarely"/>
    <n v="1401"/>
    <x v="1"/>
    <n v="6"/>
    <n v="1"/>
    <s v="Medical"/>
    <n v="1"/>
    <n v="1192"/>
    <n v="2"/>
    <x v="0"/>
    <n v="54"/>
    <n v="3"/>
    <n v="1"/>
    <s v="Laboratory Technician"/>
    <n v="4"/>
    <s v="Married"/>
    <x v="2"/>
    <n v="3131"/>
    <n v="26342"/>
    <n v="1"/>
    <s v="Yes"/>
    <s v="No"/>
    <n v="13"/>
    <x v="0"/>
    <n v="1"/>
    <n v="80"/>
    <n v="1"/>
    <n v="10"/>
    <n v="5"/>
    <n v="3"/>
    <n v="10"/>
    <n v="8"/>
    <x v="0"/>
    <n v="8"/>
  </r>
  <r>
    <n v="19"/>
    <x v="1"/>
    <s v="Travel_Rarely"/>
    <n v="645"/>
    <x v="1"/>
    <n v="9"/>
    <n v="2"/>
    <s v="Life Sciences"/>
    <n v="1"/>
    <n v="1193"/>
    <n v="3"/>
    <x v="1"/>
    <n v="54"/>
    <n v="3"/>
    <n v="1"/>
    <s v="Research Scientist"/>
    <n v="1"/>
    <s v="Single"/>
    <x v="1"/>
    <n v="2552"/>
    <n v="7172"/>
    <n v="1"/>
    <s v="Yes"/>
    <s v="No"/>
    <n v="25"/>
    <x v="1"/>
    <n v="3"/>
    <n v="80"/>
    <n v="0"/>
    <n v="1"/>
    <n v="4"/>
    <n v="3"/>
    <n v="1"/>
    <n v="1"/>
    <x v="0"/>
    <n v="0"/>
  </r>
  <r>
    <n v="45"/>
    <x v="1"/>
    <s v="Travel_Rarely"/>
    <n v="1457"/>
    <x v="1"/>
    <n v="7"/>
    <n v="3"/>
    <s v="Medical"/>
    <n v="1"/>
    <n v="1195"/>
    <n v="1"/>
    <x v="0"/>
    <n v="83"/>
    <n v="3"/>
    <n v="1"/>
    <s v="Research Scientist"/>
    <n v="3"/>
    <s v="Married"/>
    <x v="4"/>
    <n v="4477"/>
    <n v="20100"/>
    <n v="4"/>
    <s v="Yes"/>
    <s v="Yes"/>
    <n v="19"/>
    <x v="0"/>
    <n v="3"/>
    <n v="80"/>
    <n v="1"/>
    <n v="7"/>
    <n v="2"/>
    <n v="2"/>
    <n v="3"/>
    <n v="2"/>
    <x v="0"/>
    <n v="2"/>
  </r>
  <r>
    <n v="37"/>
    <x v="1"/>
    <s v="Travel_Rarely"/>
    <n v="977"/>
    <x v="1"/>
    <n v="1"/>
    <n v="3"/>
    <s v="Life Sciences"/>
    <n v="1"/>
    <n v="1196"/>
    <n v="4"/>
    <x v="0"/>
    <n v="56"/>
    <n v="2"/>
    <n v="2"/>
    <s v="Manufacturing Director"/>
    <n v="4"/>
    <s v="Married"/>
    <x v="9"/>
    <n v="6474"/>
    <n v="9961"/>
    <n v="1"/>
    <s v="Yes"/>
    <s v="No"/>
    <n v="13"/>
    <x v="0"/>
    <n v="2"/>
    <n v="80"/>
    <n v="1"/>
    <n v="14"/>
    <n v="2"/>
    <n v="2"/>
    <n v="14"/>
    <n v="8"/>
    <x v="2"/>
    <n v="11"/>
  </r>
  <r>
    <n v="20"/>
    <x v="1"/>
    <s v="Travel_Rarely"/>
    <n v="805"/>
    <x v="1"/>
    <n v="3"/>
    <n v="3"/>
    <s v="Life Sciences"/>
    <n v="1"/>
    <n v="1198"/>
    <n v="1"/>
    <x v="1"/>
    <n v="87"/>
    <n v="2"/>
    <n v="1"/>
    <s v="Laboratory Technician"/>
    <n v="3"/>
    <s v="Single"/>
    <x v="2"/>
    <n v="3033"/>
    <n v="12828"/>
    <n v="1"/>
    <s v="Yes"/>
    <s v="No"/>
    <n v="12"/>
    <x v="0"/>
    <n v="1"/>
    <n v="80"/>
    <n v="0"/>
    <n v="2"/>
    <n v="2"/>
    <n v="2"/>
    <n v="2"/>
    <n v="2"/>
    <x v="1"/>
    <n v="2"/>
  </r>
  <r>
    <n v="44"/>
    <x v="0"/>
    <s v="Travel_Rarely"/>
    <n v="1097"/>
    <x v="1"/>
    <n v="10"/>
    <n v="4"/>
    <s v="Life Sciences"/>
    <n v="1"/>
    <n v="1200"/>
    <n v="3"/>
    <x v="1"/>
    <n v="96"/>
    <n v="3"/>
    <n v="1"/>
    <s v="Research Scientist"/>
    <n v="3"/>
    <s v="Single"/>
    <x v="1"/>
    <n v="2936"/>
    <n v="10826"/>
    <n v="1"/>
    <s v="Yes"/>
    <s v="Yes"/>
    <n v="11"/>
    <x v="0"/>
    <n v="3"/>
    <n v="80"/>
    <n v="0"/>
    <n v="6"/>
    <n v="4"/>
    <n v="3"/>
    <n v="6"/>
    <n v="4"/>
    <x v="0"/>
    <n v="2"/>
  </r>
  <r>
    <n v="53"/>
    <x v="1"/>
    <s v="Travel_Rarely"/>
    <n v="1223"/>
    <x v="1"/>
    <n v="7"/>
    <n v="2"/>
    <s v="Medical"/>
    <n v="1"/>
    <n v="1201"/>
    <n v="4"/>
    <x v="0"/>
    <n v="50"/>
    <n v="3"/>
    <n v="5"/>
    <s v="Manager"/>
    <n v="3"/>
    <s v="Divorced"/>
    <x v="11"/>
    <n v="18606"/>
    <n v="18640"/>
    <n v="3"/>
    <s v="Yes"/>
    <s v="No"/>
    <n v="18"/>
    <x v="0"/>
    <n v="2"/>
    <n v="80"/>
    <n v="1"/>
    <n v="26"/>
    <n v="6"/>
    <n v="3"/>
    <n v="7"/>
    <n v="7"/>
    <x v="5"/>
    <n v="7"/>
  </r>
  <r>
    <n v="29"/>
    <x v="1"/>
    <s v="Travel_Rarely"/>
    <n v="942"/>
    <x v="1"/>
    <n v="15"/>
    <n v="1"/>
    <s v="Life Sciences"/>
    <n v="1"/>
    <n v="1202"/>
    <n v="2"/>
    <x v="0"/>
    <n v="69"/>
    <n v="1"/>
    <n v="1"/>
    <s v="Research Scientist"/>
    <n v="4"/>
    <s v="Married"/>
    <x v="1"/>
    <n v="2168"/>
    <n v="26933"/>
    <n v="0"/>
    <s v="Yes"/>
    <s v="Yes"/>
    <n v="18"/>
    <x v="0"/>
    <n v="1"/>
    <n v="80"/>
    <n v="1"/>
    <n v="6"/>
    <n v="2"/>
    <n v="2"/>
    <n v="5"/>
    <n v="4"/>
    <x v="1"/>
    <n v="3"/>
  </r>
  <r>
    <n v="22"/>
    <x v="0"/>
    <s v="Travel_Frequently"/>
    <n v="1256"/>
    <x v="1"/>
    <n v="3"/>
    <n v="4"/>
    <s v="Life Sciences"/>
    <n v="1"/>
    <n v="1203"/>
    <n v="3"/>
    <x v="1"/>
    <n v="48"/>
    <n v="2"/>
    <n v="1"/>
    <s v="Research Scientist"/>
    <n v="4"/>
    <s v="Married"/>
    <x v="1"/>
    <n v="2853"/>
    <n v="4223"/>
    <n v="0"/>
    <s v="Yes"/>
    <s v="Yes"/>
    <n v="11"/>
    <x v="0"/>
    <n v="2"/>
    <n v="80"/>
    <n v="1"/>
    <n v="1"/>
    <n v="5"/>
    <n v="3"/>
    <n v="0"/>
    <n v="0"/>
    <x v="0"/>
    <n v="0"/>
  </r>
  <r>
    <n v="46"/>
    <x v="1"/>
    <s v="Travel_Rarely"/>
    <n v="1402"/>
    <x v="0"/>
    <n v="2"/>
    <n v="3"/>
    <s v="Marketing"/>
    <n v="1"/>
    <n v="1204"/>
    <n v="3"/>
    <x v="0"/>
    <n v="69"/>
    <n v="3"/>
    <n v="4"/>
    <s v="Manager"/>
    <n v="1"/>
    <s v="Married"/>
    <x v="16"/>
    <n v="17048"/>
    <n v="24097"/>
    <n v="8"/>
    <s v="Yes"/>
    <s v="No"/>
    <n v="23"/>
    <x v="1"/>
    <n v="1"/>
    <n v="80"/>
    <n v="0"/>
    <n v="28"/>
    <n v="2"/>
    <n v="3"/>
    <n v="26"/>
    <n v="15"/>
    <x v="9"/>
    <n v="9"/>
  </r>
  <r>
    <n v="44"/>
    <x v="1"/>
    <s v="Non-Travel"/>
    <n v="111"/>
    <x v="1"/>
    <n v="17"/>
    <n v="3"/>
    <s v="Life Sciences"/>
    <n v="1"/>
    <n v="1206"/>
    <n v="4"/>
    <x v="1"/>
    <n v="74"/>
    <n v="1"/>
    <n v="1"/>
    <s v="Research Scientist"/>
    <n v="3"/>
    <s v="Single"/>
    <x v="1"/>
    <n v="2290"/>
    <n v="4279"/>
    <n v="2"/>
    <s v="Yes"/>
    <s v="No"/>
    <n v="13"/>
    <x v="0"/>
    <n v="4"/>
    <n v="80"/>
    <n v="0"/>
    <n v="6"/>
    <n v="3"/>
    <n v="3"/>
    <n v="0"/>
    <n v="0"/>
    <x v="0"/>
    <n v="0"/>
  </r>
  <r>
    <n v="33"/>
    <x v="1"/>
    <s v="Travel_Rarely"/>
    <n v="147"/>
    <x v="2"/>
    <n v="2"/>
    <n v="3"/>
    <s v="Human Resources"/>
    <n v="1"/>
    <n v="1207"/>
    <n v="2"/>
    <x v="1"/>
    <n v="99"/>
    <n v="3"/>
    <n v="1"/>
    <s v="Human Resources"/>
    <n v="3"/>
    <s v="Married"/>
    <x v="2"/>
    <n v="3600"/>
    <n v="8429"/>
    <n v="1"/>
    <s v="Yes"/>
    <s v="No"/>
    <n v="13"/>
    <x v="0"/>
    <n v="4"/>
    <n v="80"/>
    <n v="1"/>
    <n v="5"/>
    <n v="2"/>
    <n v="3"/>
    <n v="5"/>
    <n v="4"/>
    <x v="1"/>
    <n v="4"/>
  </r>
  <r>
    <n v="41"/>
    <x v="0"/>
    <s v="Non-Travel"/>
    <n v="906"/>
    <x v="1"/>
    <n v="5"/>
    <n v="2"/>
    <s v="Life Sciences"/>
    <n v="1"/>
    <n v="1210"/>
    <n v="1"/>
    <x v="1"/>
    <n v="95"/>
    <n v="2"/>
    <n v="1"/>
    <s v="Research Scientist"/>
    <n v="1"/>
    <s v="Divorced"/>
    <x v="1"/>
    <n v="2107"/>
    <n v="20293"/>
    <n v="6"/>
    <s v="Yes"/>
    <s v="No"/>
    <n v="17"/>
    <x v="0"/>
    <n v="1"/>
    <n v="80"/>
    <n v="1"/>
    <n v="5"/>
    <n v="2"/>
    <n v="1"/>
    <n v="1"/>
    <n v="0"/>
    <x v="0"/>
    <n v="0"/>
  </r>
  <r>
    <n v="30"/>
    <x v="1"/>
    <s v="Travel_Rarely"/>
    <n v="1329"/>
    <x v="0"/>
    <n v="29"/>
    <n v="4"/>
    <s v="Life Sciences"/>
    <n v="1"/>
    <n v="1211"/>
    <n v="3"/>
    <x v="1"/>
    <n v="61"/>
    <n v="3"/>
    <n v="2"/>
    <s v="Sales Executive"/>
    <n v="1"/>
    <s v="Divorced"/>
    <x v="4"/>
    <n v="4115"/>
    <n v="13192"/>
    <n v="8"/>
    <s v="Yes"/>
    <s v="No"/>
    <n v="19"/>
    <x v="0"/>
    <n v="3"/>
    <n v="80"/>
    <n v="3"/>
    <n v="8"/>
    <n v="3"/>
    <n v="3"/>
    <n v="4"/>
    <n v="3"/>
    <x v="0"/>
    <n v="3"/>
  </r>
  <r>
    <n v="40"/>
    <x v="1"/>
    <s v="Travel_Frequently"/>
    <n v="1184"/>
    <x v="0"/>
    <n v="2"/>
    <n v="4"/>
    <s v="Medical"/>
    <n v="1"/>
    <n v="1212"/>
    <n v="2"/>
    <x v="1"/>
    <n v="62"/>
    <n v="3"/>
    <n v="2"/>
    <s v="Sales Executive"/>
    <n v="2"/>
    <s v="Married"/>
    <x v="4"/>
    <n v="4327"/>
    <n v="25440"/>
    <n v="5"/>
    <s v="Yes"/>
    <s v="No"/>
    <n v="12"/>
    <x v="0"/>
    <n v="4"/>
    <n v="80"/>
    <n v="3"/>
    <n v="5"/>
    <n v="2"/>
    <n v="3"/>
    <n v="0"/>
    <n v="0"/>
    <x v="0"/>
    <n v="0"/>
  </r>
  <r>
    <n v="50"/>
    <x v="1"/>
    <s v="Travel_Frequently"/>
    <n v="1421"/>
    <x v="1"/>
    <n v="2"/>
    <n v="3"/>
    <s v="Medical"/>
    <n v="1"/>
    <n v="1215"/>
    <n v="4"/>
    <x v="0"/>
    <n v="30"/>
    <n v="3"/>
    <n v="4"/>
    <s v="Manager"/>
    <n v="1"/>
    <s v="Married"/>
    <x v="16"/>
    <n v="17856"/>
    <n v="9490"/>
    <n v="2"/>
    <s v="Yes"/>
    <s v="No"/>
    <n v="22"/>
    <x v="1"/>
    <n v="3"/>
    <n v="80"/>
    <n v="1"/>
    <n v="32"/>
    <n v="3"/>
    <n v="3"/>
    <n v="2"/>
    <n v="2"/>
    <x v="3"/>
    <n v="2"/>
  </r>
  <r>
    <n v="28"/>
    <x v="1"/>
    <s v="Travel_Rarely"/>
    <n v="1179"/>
    <x v="1"/>
    <n v="19"/>
    <n v="4"/>
    <s v="Medical"/>
    <n v="1"/>
    <n v="1216"/>
    <n v="4"/>
    <x v="1"/>
    <n v="78"/>
    <n v="2"/>
    <n v="1"/>
    <s v="Laboratory Technician"/>
    <n v="1"/>
    <s v="Married"/>
    <x v="2"/>
    <n v="3196"/>
    <n v="12449"/>
    <n v="1"/>
    <s v="Yes"/>
    <s v="No"/>
    <n v="12"/>
    <x v="0"/>
    <n v="3"/>
    <n v="80"/>
    <n v="3"/>
    <n v="6"/>
    <n v="2"/>
    <n v="3"/>
    <n v="6"/>
    <n v="5"/>
    <x v="2"/>
    <n v="3"/>
  </r>
  <r>
    <n v="46"/>
    <x v="1"/>
    <s v="Travel_Rarely"/>
    <n v="1450"/>
    <x v="1"/>
    <n v="15"/>
    <n v="2"/>
    <s v="Life Sciences"/>
    <n v="1"/>
    <n v="1217"/>
    <n v="4"/>
    <x v="1"/>
    <n v="52"/>
    <n v="3"/>
    <n v="5"/>
    <s v="Research Director"/>
    <n v="2"/>
    <s v="Married"/>
    <x v="8"/>
    <n v="19081"/>
    <n v="10849"/>
    <n v="5"/>
    <s v="Yes"/>
    <s v="No"/>
    <n v="11"/>
    <x v="0"/>
    <n v="1"/>
    <n v="80"/>
    <n v="1"/>
    <n v="25"/>
    <n v="2"/>
    <n v="3"/>
    <n v="4"/>
    <n v="2"/>
    <x v="0"/>
    <n v="3"/>
  </r>
  <r>
    <n v="35"/>
    <x v="1"/>
    <s v="Travel_Rarely"/>
    <n v="1361"/>
    <x v="0"/>
    <n v="17"/>
    <n v="4"/>
    <s v="Life Sciences"/>
    <n v="1"/>
    <n v="1218"/>
    <n v="3"/>
    <x v="1"/>
    <n v="94"/>
    <n v="3"/>
    <n v="2"/>
    <s v="Sales Executive"/>
    <n v="1"/>
    <s v="Married"/>
    <x v="12"/>
    <n v="8966"/>
    <n v="21026"/>
    <n v="3"/>
    <s v="Yes"/>
    <s v="Yes"/>
    <n v="15"/>
    <x v="0"/>
    <n v="4"/>
    <n v="80"/>
    <n v="3"/>
    <n v="15"/>
    <n v="2"/>
    <n v="3"/>
    <n v="7"/>
    <n v="7"/>
    <x v="1"/>
    <n v="7"/>
  </r>
  <r>
    <n v="24"/>
    <x v="0"/>
    <s v="Travel_Rarely"/>
    <n v="984"/>
    <x v="1"/>
    <n v="17"/>
    <n v="2"/>
    <s v="Life Sciences"/>
    <n v="1"/>
    <n v="1219"/>
    <n v="4"/>
    <x v="0"/>
    <n v="97"/>
    <n v="3"/>
    <n v="1"/>
    <s v="Laboratory Technician"/>
    <n v="2"/>
    <s v="Married"/>
    <x v="1"/>
    <n v="2210"/>
    <n v="3372"/>
    <n v="1"/>
    <s v="Yes"/>
    <s v="No"/>
    <n v="13"/>
    <x v="0"/>
    <n v="1"/>
    <n v="80"/>
    <n v="1"/>
    <n v="1"/>
    <n v="3"/>
    <n v="1"/>
    <n v="1"/>
    <n v="0"/>
    <x v="0"/>
    <n v="0"/>
  </r>
  <r>
    <n v="33"/>
    <x v="1"/>
    <s v="Travel_Frequently"/>
    <n v="1146"/>
    <x v="0"/>
    <n v="25"/>
    <n v="3"/>
    <s v="Medical"/>
    <n v="1"/>
    <n v="1220"/>
    <n v="2"/>
    <x v="0"/>
    <n v="82"/>
    <n v="3"/>
    <n v="2"/>
    <s v="Sales Executive"/>
    <n v="3"/>
    <s v="Married"/>
    <x v="4"/>
    <n v="4539"/>
    <n v="4905"/>
    <n v="1"/>
    <s v="Yes"/>
    <s v="No"/>
    <n v="12"/>
    <x v="0"/>
    <n v="1"/>
    <n v="80"/>
    <n v="1"/>
    <n v="10"/>
    <n v="3"/>
    <n v="2"/>
    <n v="10"/>
    <n v="7"/>
    <x v="0"/>
    <n v="1"/>
  </r>
  <r>
    <n v="36"/>
    <x v="1"/>
    <s v="Travel_Rarely"/>
    <n v="917"/>
    <x v="1"/>
    <n v="6"/>
    <n v="4"/>
    <s v="Life Sciences"/>
    <n v="1"/>
    <n v="1221"/>
    <n v="3"/>
    <x v="1"/>
    <n v="60"/>
    <n v="1"/>
    <n v="1"/>
    <s v="Laboratory Technician"/>
    <n v="3"/>
    <s v="Divorced"/>
    <x v="1"/>
    <n v="2741"/>
    <n v="6865"/>
    <n v="1"/>
    <s v="Yes"/>
    <s v="No"/>
    <n v="14"/>
    <x v="0"/>
    <n v="3"/>
    <n v="80"/>
    <n v="1"/>
    <n v="7"/>
    <n v="4"/>
    <n v="3"/>
    <n v="7"/>
    <n v="7"/>
    <x v="1"/>
    <n v="7"/>
  </r>
  <r>
    <n v="30"/>
    <x v="1"/>
    <s v="Travel_Rarely"/>
    <n v="853"/>
    <x v="1"/>
    <n v="7"/>
    <n v="4"/>
    <s v="Life Sciences"/>
    <n v="1"/>
    <n v="1224"/>
    <n v="3"/>
    <x v="1"/>
    <n v="49"/>
    <n v="3"/>
    <n v="2"/>
    <s v="Laboratory Technician"/>
    <n v="3"/>
    <s v="Divorced"/>
    <x v="2"/>
    <n v="3491"/>
    <n v="11309"/>
    <n v="1"/>
    <s v="Yes"/>
    <s v="No"/>
    <n v="13"/>
    <x v="0"/>
    <n v="1"/>
    <n v="80"/>
    <n v="3"/>
    <n v="10"/>
    <n v="4"/>
    <n v="2"/>
    <n v="10"/>
    <n v="7"/>
    <x v="6"/>
    <n v="9"/>
  </r>
  <r>
    <n v="44"/>
    <x v="1"/>
    <s v="Travel_Rarely"/>
    <n v="200"/>
    <x v="1"/>
    <n v="29"/>
    <n v="4"/>
    <s v="Other"/>
    <n v="1"/>
    <n v="1225"/>
    <n v="4"/>
    <x v="1"/>
    <n v="32"/>
    <n v="3"/>
    <n v="2"/>
    <s v="Research Scientist"/>
    <n v="4"/>
    <s v="Single"/>
    <x v="4"/>
    <n v="4541"/>
    <n v="7744"/>
    <n v="1"/>
    <s v="Yes"/>
    <s v="No"/>
    <n v="25"/>
    <x v="1"/>
    <n v="2"/>
    <n v="80"/>
    <n v="0"/>
    <n v="20"/>
    <n v="3"/>
    <n v="3"/>
    <n v="20"/>
    <n v="11"/>
    <x v="11"/>
    <n v="17"/>
  </r>
  <r>
    <n v="20"/>
    <x v="1"/>
    <s v="Travel_Rarely"/>
    <n v="654"/>
    <x v="0"/>
    <n v="21"/>
    <n v="3"/>
    <s v="Marketing"/>
    <n v="1"/>
    <n v="1226"/>
    <n v="3"/>
    <x v="1"/>
    <n v="43"/>
    <n v="4"/>
    <n v="1"/>
    <s v="Sales Representative"/>
    <n v="4"/>
    <s v="Single"/>
    <x v="1"/>
    <n v="2678"/>
    <n v="5050"/>
    <n v="1"/>
    <s v="Yes"/>
    <s v="No"/>
    <n v="17"/>
    <x v="0"/>
    <n v="4"/>
    <n v="80"/>
    <n v="0"/>
    <n v="2"/>
    <n v="2"/>
    <n v="3"/>
    <n v="2"/>
    <n v="1"/>
    <x v="3"/>
    <n v="2"/>
  </r>
  <r>
    <n v="46"/>
    <x v="1"/>
    <s v="Travel_Rarely"/>
    <n v="150"/>
    <x v="1"/>
    <n v="2"/>
    <n v="4"/>
    <s v="Technical Degree"/>
    <n v="1"/>
    <n v="1228"/>
    <n v="4"/>
    <x v="1"/>
    <n v="60"/>
    <n v="3"/>
    <n v="2"/>
    <s v="Manufacturing Director"/>
    <n v="4"/>
    <s v="Divorced"/>
    <x v="14"/>
    <n v="7379"/>
    <n v="17433"/>
    <n v="2"/>
    <s v="Yes"/>
    <s v="No"/>
    <n v="11"/>
    <x v="0"/>
    <n v="3"/>
    <n v="80"/>
    <n v="1"/>
    <n v="12"/>
    <n v="3"/>
    <n v="2"/>
    <n v="6"/>
    <n v="3"/>
    <x v="1"/>
    <n v="4"/>
  </r>
  <r>
    <n v="42"/>
    <x v="1"/>
    <s v="Non-Travel"/>
    <n v="179"/>
    <x v="2"/>
    <n v="2"/>
    <n v="5"/>
    <s v="Medical"/>
    <n v="1"/>
    <n v="1231"/>
    <n v="4"/>
    <x v="1"/>
    <n v="79"/>
    <n v="4"/>
    <n v="2"/>
    <s v="Human Resources"/>
    <n v="1"/>
    <s v="Married"/>
    <x v="9"/>
    <n v="6272"/>
    <n v="12858"/>
    <n v="7"/>
    <s v="Yes"/>
    <s v="No"/>
    <n v="16"/>
    <x v="0"/>
    <n v="1"/>
    <n v="80"/>
    <n v="1"/>
    <n v="10"/>
    <n v="3"/>
    <n v="4"/>
    <n v="4"/>
    <n v="3"/>
    <x v="0"/>
    <n v="3"/>
  </r>
  <r>
    <n v="60"/>
    <x v="1"/>
    <s v="Travel_Rarely"/>
    <n v="696"/>
    <x v="0"/>
    <n v="7"/>
    <n v="4"/>
    <s v="Marketing"/>
    <n v="1"/>
    <n v="1233"/>
    <n v="2"/>
    <x v="1"/>
    <n v="52"/>
    <n v="4"/>
    <n v="2"/>
    <s v="Sales Executive"/>
    <n v="4"/>
    <s v="Divorced"/>
    <x v="0"/>
    <n v="5220"/>
    <n v="10893"/>
    <n v="0"/>
    <s v="Yes"/>
    <s v="Yes"/>
    <n v="18"/>
    <x v="0"/>
    <n v="2"/>
    <n v="80"/>
    <n v="1"/>
    <n v="12"/>
    <n v="3"/>
    <n v="3"/>
    <n v="11"/>
    <n v="7"/>
    <x v="1"/>
    <n v="9"/>
  </r>
  <r>
    <n v="32"/>
    <x v="1"/>
    <s v="Travel_Frequently"/>
    <n v="116"/>
    <x v="1"/>
    <n v="13"/>
    <n v="3"/>
    <s v="Other"/>
    <n v="1"/>
    <n v="1234"/>
    <n v="3"/>
    <x v="0"/>
    <n v="77"/>
    <n v="2"/>
    <n v="1"/>
    <s v="Laboratory Technician"/>
    <n v="2"/>
    <s v="Married"/>
    <x v="1"/>
    <n v="2743"/>
    <n v="7331"/>
    <n v="1"/>
    <s v="Yes"/>
    <s v="No"/>
    <n v="20"/>
    <x v="1"/>
    <n v="3"/>
    <n v="80"/>
    <n v="1"/>
    <n v="2"/>
    <n v="2"/>
    <n v="3"/>
    <n v="2"/>
    <n v="2"/>
    <x v="3"/>
    <n v="2"/>
  </r>
  <r>
    <n v="32"/>
    <x v="1"/>
    <s v="Travel_Frequently"/>
    <n v="1316"/>
    <x v="1"/>
    <n v="2"/>
    <n v="2"/>
    <s v="Life Sciences"/>
    <n v="1"/>
    <n v="1235"/>
    <n v="4"/>
    <x v="0"/>
    <n v="38"/>
    <n v="3"/>
    <n v="2"/>
    <s v="Research Scientist"/>
    <n v="3"/>
    <s v="Single"/>
    <x v="4"/>
    <n v="4998"/>
    <n v="2338"/>
    <n v="4"/>
    <s v="Yes"/>
    <s v="Yes"/>
    <n v="14"/>
    <x v="0"/>
    <n v="4"/>
    <n v="80"/>
    <n v="0"/>
    <n v="10"/>
    <n v="2"/>
    <n v="3"/>
    <n v="8"/>
    <n v="7"/>
    <x v="0"/>
    <n v="7"/>
  </r>
  <r>
    <n v="36"/>
    <x v="1"/>
    <s v="Travel_Rarely"/>
    <n v="363"/>
    <x v="1"/>
    <n v="1"/>
    <n v="3"/>
    <s v="Technical Degree"/>
    <n v="1"/>
    <n v="1237"/>
    <n v="3"/>
    <x v="0"/>
    <n v="77"/>
    <n v="1"/>
    <n v="3"/>
    <s v="Manufacturing Director"/>
    <n v="1"/>
    <s v="Divorced"/>
    <x v="10"/>
    <n v="10252"/>
    <n v="4235"/>
    <n v="2"/>
    <s v="Yes"/>
    <s v="Yes"/>
    <n v="21"/>
    <x v="1"/>
    <n v="3"/>
    <n v="80"/>
    <n v="1"/>
    <n v="17"/>
    <n v="2"/>
    <n v="3"/>
    <n v="7"/>
    <n v="7"/>
    <x v="4"/>
    <n v="7"/>
  </r>
  <r>
    <n v="33"/>
    <x v="1"/>
    <s v="Travel_Rarely"/>
    <n v="117"/>
    <x v="1"/>
    <n v="9"/>
    <n v="3"/>
    <s v="Medical"/>
    <n v="1"/>
    <n v="1238"/>
    <n v="1"/>
    <x v="1"/>
    <n v="60"/>
    <n v="3"/>
    <n v="1"/>
    <s v="Research Scientist"/>
    <n v="4"/>
    <s v="Married"/>
    <x v="1"/>
    <n v="2781"/>
    <n v="6311"/>
    <n v="0"/>
    <s v="Yes"/>
    <s v="No"/>
    <n v="13"/>
    <x v="0"/>
    <n v="2"/>
    <n v="80"/>
    <n v="1"/>
    <n v="15"/>
    <n v="5"/>
    <n v="3"/>
    <n v="14"/>
    <n v="10"/>
    <x v="5"/>
    <n v="10"/>
  </r>
  <r>
    <n v="40"/>
    <x v="1"/>
    <s v="Travel_Rarely"/>
    <n v="107"/>
    <x v="0"/>
    <n v="10"/>
    <n v="3"/>
    <s v="Technical Degree"/>
    <n v="1"/>
    <n v="1239"/>
    <n v="2"/>
    <x v="0"/>
    <n v="84"/>
    <n v="2"/>
    <n v="2"/>
    <s v="Sales Executive"/>
    <n v="2"/>
    <s v="Divorced"/>
    <x v="9"/>
    <n v="6852"/>
    <n v="11591"/>
    <n v="7"/>
    <s v="Yes"/>
    <s v="No"/>
    <n v="12"/>
    <x v="0"/>
    <n v="2"/>
    <n v="80"/>
    <n v="1"/>
    <n v="7"/>
    <n v="2"/>
    <n v="4"/>
    <n v="5"/>
    <n v="1"/>
    <x v="1"/>
    <n v="3"/>
  </r>
  <r>
    <n v="25"/>
    <x v="1"/>
    <s v="Travel_Rarely"/>
    <n v="1356"/>
    <x v="0"/>
    <n v="10"/>
    <n v="4"/>
    <s v="Life Sciences"/>
    <n v="1"/>
    <n v="1240"/>
    <n v="3"/>
    <x v="1"/>
    <n v="57"/>
    <n v="3"/>
    <n v="2"/>
    <s v="Sales Executive"/>
    <n v="4"/>
    <s v="Single"/>
    <x v="4"/>
    <n v="4950"/>
    <n v="20623"/>
    <n v="0"/>
    <s v="Yes"/>
    <s v="No"/>
    <n v="14"/>
    <x v="0"/>
    <n v="2"/>
    <n v="80"/>
    <n v="0"/>
    <n v="5"/>
    <n v="4"/>
    <n v="3"/>
    <n v="4"/>
    <n v="3"/>
    <x v="1"/>
    <n v="1"/>
  </r>
  <r>
    <n v="30"/>
    <x v="1"/>
    <s v="Travel_Rarely"/>
    <n v="1465"/>
    <x v="1"/>
    <n v="1"/>
    <n v="3"/>
    <s v="Medical"/>
    <n v="1"/>
    <n v="1241"/>
    <n v="4"/>
    <x v="1"/>
    <n v="63"/>
    <n v="3"/>
    <n v="1"/>
    <s v="Research Scientist"/>
    <n v="2"/>
    <s v="Married"/>
    <x v="2"/>
    <n v="3579"/>
    <n v="9369"/>
    <n v="0"/>
    <s v="Yes"/>
    <s v="Yes"/>
    <n v="21"/>
    <x v="1"/>
    <n v="1"/>
    <n v="80"/>
    <n v="1"/>
    <n v="12"/>
    <n v="2"/>
    <n v="3"/>
    <n v="11"/>
    <n v="9"/>
    <x v="8"/>
    <n v="7"/>
  </r>
  <r>
    <n v="42"/>
    <x v="1"/>
    <s v="Travel_Frequently"/>
    <n v="458"/>
    <x v="1"/>
    <n v="26"/>
    <n v="5"/>
    <s v="Medical"/>
    <n v="1"/>
    <n v="1242"/>
    <n v="1"/>
    <x v="0"/>
    <n v="60"/>
    <n v="3"/>
    <n v="3"/>
    <s v="Research Director"/>
    <n v="1"/>
    <s v="Married"/>
    <x v="13"/>
    <n v="13191"/>
    <n v="23281"/>
    <n v="3"/>
    <s v="Yes"/>
    <s v="Yes"/>
    <n v="17"/>
    <x v="0"/>
    <n v="3"/>
    <n v="80"/>
    <n v="0"/>
    <n v="20"/>
    <n v="6"/>
    <n v="3"/>
    <n v="1"/>
    <n v="0"/>
    <x v="0"/>
    <n v="0"/>
  </r>
  <r>
    <n v="35"/>
    <x v="1"/>
    <s v="Non-Travel"/>
    <n v="1212"/>
    <x v="0"/>
    <n v="8"/>
    <n v="2"/>
    <s v="Marketing"/>
    <n v="1"/>
    <n v="1243"/>
    <n v="3"/>
    <x v="0"/>
    <n v="78"/>
    <n v="2"/>
    <n v="3"/>
    <s v="Sales Executive"/>
    <n v="4"/>
    <s v="Married"/>
    <x v="10"/>
    <n v="10377"/>
    <n v="13755"/>
    <n v="4"/>
    <s v="Yes"/>
    <s v="Yes"/>
    <n v="11"/>
    <x v="0"/>
    <n v="2"/>
    <n v="80"/>
    <n v="1"/>
    <n v="16"/>
    <n v="6"/>
    <n v="2"/>
    <n v="13"/>
    <n v="2"/>
    <x v="5"/>
    <n v="12"/>
  </r>
  <r>
    <n v="27"/>
    <x v="1"/>
    <s v="Travel_Rarely"/>
    <n v="1103"/>
    <x v="1"/>
    <n v="14"/>
    <n v="3"/>
    <s v="Life Sciences"/>
    <n v="1"/>
    <n v="1244"/>
    <n v="1"/>
    <x v="1"/>
    <n v="42"/>
    <n v="3"/>
    <n v="1"/>
    <s v="Research Scientist"/>
    <n v="1"/>
    <s v="Married"/>
    <x v="1"/>
    <n v="2235"/>
    <n v="14377"/>
    <n v="1"/>
    <s v="Yes"/>
    <s v="Yes"/>
    <n v="14"/>
    <x v="0"/>
    <n v="4"/>
    <n v="80"/>
    <n v="2"/>
    <n v="9"/>
    <n v="3"/>
    <n v="2"/>
    <n v="9"/>
    <n v="7"/>
    <x v="7"/>
    <n v="8"/>
  </r>
  <r>
    <n v="54"/>
    <x v="1"/>
    <s v="Travel_Frequently"/>
    <n v="966"/>
    <x v="1"/>
    <n v="1"/>
    <n v="4"/>
    <s v="Life Sciences"/>
    <n v="1"/>
    <n v="1245"/>
    <n v="4"/>
    <x v="0"/>
    <n v="53"/>
    <n v="3"/>
    <n v="3"/>
    <s v="Manufacturing Director"/>
    <n v="3"/>
    <s v="Divorced"/>
    <x v="10"/>
    <n v="10502"/>
    <n v="9659"/>
    <n v="7"/>
    <s v="Yes"/>
    <s v="No"/>
    <n v="17"/>
    <x v="0"/>
    <n v="1"/>
    <n v="80"/>
    <n v="1"/>
    <n v="33"/>
    <n v="2"/>
    <n v="1"/>
    <n v="5"/>
    <n v="4"/>
    <x v="1"/>
    <n v="4"/>
  </r>
  <r>
    <n v="44"/>
    <x v="1"/>
    <s v="Travel_Rarely"/>
    <n v="1117"/>
    <x v="1"/>
    <n v="2"/>
    <n v="1"/>
    <s v="Life Sciences"/>
    <n v="1"/>
    <n v="1246"/>
    <n v="1"/>
    <x v="0"/>
    <n v="72"/>
    <n v="4"/>
    <n v="1"/>
    <s v="Research Scientist"/>
    <n v="4"/>
    <s v="Married"/>
    <x v="1"/>
    <n v="2011"/>
    <n v="19982"/>
    <n v="1"/>
    <s v="Yes"/>
    <s v="No"/>
    <n v="13"/>
    <x v="0"/>
    <n v="4"/>
    <n v="80"/>
    <n v="1"/>
    <n v="10"/>
    <n v="5"/>
    <n v="3"/>
    <n v="10"/>
    <n v="5"/>
    <x v="4"/>
    <n v="7"/>
  </r>
  <r>
    <n v="19"/>
    <x v="0"/>
    <s v="Non-Travel"/>
    <n v="504"/>
    <x v="1"/>
    <n v="10"/>
    <n v="3"/>
    <s v="Medical"/>
    <n v="1"/>
    <n v="1248"/>
    <n v="1"/>
    <x v="0"/>
    <n v="96"/>
    <n v="2"/>
    <n v="1"/>
    <s v="Research Scientist"/>
    <n v="2"/>
    <s v="Single"/>
    <x v="7"/>
    <n v="1859"/>
    <n v="6148"/>
    <n v="1"/>
    <s v="Yes"/>
    <s v="Yes"/>
    <n v="25"/>
    <x v="1"/>
    <n v="2"/>
    <n v="80"/>
    <n v="0"/>
    <n v="1"/>
    <n v="2"/>
    <n v="4"/>
    <n v="1"/>
    <n v="1"/>
    <x v="0"/>
    <n v="0"/>
  </r>
  <r>
    <n v="29"/>
    <x v="1"/>
    <s v="Travel_Rarely"/>
    <n v="1010"/>
    <x v="1"/>
    <n v="1"/>
    <n v="3"/>
    <s v="Life Sciences"/>
    <n v="1"/>
    <n v="1249"/>
    <n v="1"/>
    <x v="0"/>
    <n v="97"/>
    <n v="3"/>
    <n v="1"/>
    <s v="Research Scientist"/>
    <n v="4"/>
    <s v="Divorced"/>
    <x v="2"/>
    <n v="3760"/>
    <n v="5598"/>
    <n v="1"/>
    <s v="Yes"/>
    <s v="No"/>
    <n v="15"/>
    <x v="0"/>
    <n v="1"/>
    <n v="80"/>
    <n v="3"/>
    <n v="3"/>
    <n v="5"/>
    <n v="3"/>
    <n v="3"/>
    <n v="2"/>
    <x v="1"/>
    <n v="2"/>
  </r>
  <r>
    <n v="54"/>
    <x v="1"/>
    <s v="Travel_Rarely"/>
    <n v="685"/>
    <x v="1"/>
    <n v="3"/>
    <n v="3"/>
    <s v="Life Sciences"/>
    <n v="1"/>
    <n v="1250"/>
    <n v="4"/>
    <x v="1"/>
    <n v="85"/>
    <n v="3"/>
    <n v="4"/>
    <s v="Research Director"/>
    <n v="4"/>
    <s v="Married"/>
    <x v="16"/>
    <n v="17779"/>
    <n v="23474"/>
    <n v="3"/>
    <s v="Yes"/>
    <s v="No"/>
    <n v="14"/>
    <x v="0"/>
    <n v="1"/>
    <n v="80"/>
    <n v="0"/>
    <n v="36"/>
    <n v="2"/>
    <n v="3"/>
    <n v="10"/>
    <n v="9"/>
    <x v="0"/>
    <n v="9"/>
  </r>
  <r>
    <n v="31"/>
    <x v="1"/>
    <s v="Travel_Rarely"/>
    <n v="1332"/>
    <x v="1"/>
    <n v="11"/>
    <n v="2"/>
    <s v="Medical"/>
    <n v="1"/>
    <n v="1251"/>
    <n v="3"/>
    <x v="1"/>
    <n v="80"/>
    <n v="3"/>
    <n v="2"/>
    <s v="Healthcare Representative"/>
    <n v="1"/>
    <s v="Married"/>
    <x v="9"/>
    <n v="6833"/>
    <n v="17089"/>
    <n v="1"/>
    <s v="Yes"/>
    <s v="Yes"/>
    <n v="12"/>
    <x v="0"/>
    <n v="4"/>
    <n v="80"/>
    <n v="0"/>
    <n v="6"/>
    <n v="2"/>
    <n v="2"/>
    <n v="6"/>
    <n v="5"/>
    <x v="0"/>
    <n v="1"/>
  </r>
  <r>
    <n v="31"/>
    <x v="1"/>
    <s v="Travel_Rarely"/>
    <n v="1062"/>
    <x v="1"/>
    <n v="24"/>
    <n v="3"/>
    <s v="Medical"/>
    <n v="1"/>
    <n v="1252"/>
    <n v="3"/>
    <x v="0"/>
    <n v="96"/>
    <n v="2"/>
    <n v="2"/>
    <s v="Healthcare Representative"/>
    <n v="1"/>
    <s v="Single"/>
    <x v="9"/>
    <n v="6812"/>
    <n v="17198"/>
    <n v="1"/>
    <s v="Yes"/>
    <s v="No"/>
    <n v="19"/>
    <x v="0"/>
    <n v="2"/>
    <n v="80"/>
    <n v="0"/>
    <n v="10"/>
    <n v="2"/>
    <n v="3"/>
    <n v="10"/>
    <n v="9"/>
    <x v="1"/>
    <n v="8"/>
  </r>
  <r>
    <n v="59"/>
    <x v="1"/>
    <s v="Travel_Rarely"/>
    <n v="326"/>
    <x v="0"/>
    <n v="3"/>
    <n v="3"/>
    <s v="Life Sciences"/>
    <n v="1"/>
    <n v="1254"/>
    <n v="3"/>
    <x v="0"/>
    <n v="48"/>
    <n v="2"/>
    <n v="2"/>
    <s v="Sales Executive"/>
    <n v="4"/>
    <s v="Single"/>
    <x v="0"/>
    <n v="5171"/>
    <n v="16490"/>
    <n v="5"/>
    <s v="Yes"/>
    <s v="No"/>
    <n v="17"/>
    <x v="0"/>
    <n v="4"/>
    <n v="80"/>
    <n v="0"/>
    <n v="13"/>
    <n v="2"/>
    <n v="3"/>
    <n v="6"/>
    <n v="1"/>
    <x v="0"/>
    <n v="5"/>
  </r>
  <r>
    <n v="43"/>
    <x v="1"/>
    <s v="Travel_Rarely"/>
    <n v="920"/>
    <x v="1"/>
    <n v="3"/>
    <n v="3"/>
    <s v="Life Sciences"/>
    <n v="1"/>
    <n v="1255"/>
    <n v="3"/>
    <x v="1"/>
    <n v="96"/>
    <n v="1"/>
    <n v="5"/>
    <s v="Research Director"/>
    <n v="4"/>
    <s v="Married"/>
    <x v="8"/>
    <n v="19740"/>
    <n v="18625"/>
    <n v="3"/>
    <s v="Yes"/>
    <s v="No"/>
    <n v="14"/>
    <x v="0"/>
    <n v="2"/>
    <n v="80"/>
    <n v="1"/>
    <n v="25"/>
    <n v="2"/>
    <n v="3"/>
    <n v="8"/>
    <n v="7"/>
    <x v="0"/>
    <n v="7"/>
  </r>
  <r>
    <n v="49"/>
    <x v="1"/>
    <s v="Travel_Rarely"/>
    <n v="1098"/>
    <x v="1"/>
    <n v="4"/>
    <n v="2"/>
    <s v="Medical"/>
    <n v="1"/>
    <n v="1256"/>
    <n v="1"/>
    <x v="1"/>
    <n v="85"/>
    <n v="2"/>
    <n v="5"/>
    <s v="Manager"/>
    <n v="3"/>
    <s v="Married"/>
    <x v="11"/>
    <n v="18711"/>
    <n v="12124"/>
    <n v="2"/>
    <s v="Yes"/>
    <s v="No"/>
    <n v="13"/>
    <x v="0"/>
    <n v="3"/>
    <n v="80"/>
    <n v="1"/>
    <n v="23"/>
    <n v="2"/>
    <n v="4"/>
    <n v="1"/>
    <n v="0"/>
    <x v="0"/>
    <n v="0"/>
  </r>
  <r>
    <n v="36"/>
    <x v="1"/>
    <s v="Travel_Frequently"/>
    <n v="469"/>
    <x v="1"/>
    <n v="3"/>
    <n v="3"/>
    <s v="Technical Degree"/>
    <n v="1"/>
    <n v="1257"/>
    <n v="3"/>
    <x v="1"/>
    <n v="46"/>
    <n v="3"/>
    <n v="1"/>
    <s v="Research Scientist"/>
    <n v="2"/>
    <s v="Married"/>
    <x v="2"/>
    <n v="3692"/>
    <n v="9256"/>
    <n v="1"/>
    <s v="Yes"/>
    <s v="No"/>
    <n v="12"/>
    <x v="0"/>
    <n v="3"/>
    <n v="80"/>
    <n v="0"/>
    <n v="12"/>
    <n v="2"/>
    <n v="2"/>
    <n v="11"/>
    <n v="10"/>
    <x v="0"/>
    <n v="7"/>
  </r>
  <r>
    <n v="48"/>
    <x v="1"/>
    <s v="Travel_Rarely"/>
    <n v="969"/>
    <x v="1"/>
    <n v="2"/>
    <n v="2"/>
    <s v="Technical Degree"/>
    <n v="1"/>
    <n v="1258"/>
    <n v="4"/>
    <x v="1"/>
    <n v="76"/>
    <n v="4"/>
    <n v="1"/>
    <s v="Laboratory Technician"/>
    <n v="2"/>
    <s v="Single"/>
    <x v="1"/>
    <n v="2559"/>
    <n v="16620"/>
    <n v="5"/>
    <s v="Yes"/>
    <s v="No"/>
    <n v="11"/>
    <x v="0"/>
    <n v="3"/>
    <n v="80"/>
    <n v="0"/>
    <n v="7"/>
    <n v="4"/>
    <n v="2"/>
    <n v="1"/>
    <n v="0"/>
    <x v="0"/>
    <n v="0"/>
  </r>
  <r>
    <n v="27"/>
    <x v="1"/>
    <s v="Travel_Rarely"/>
    <n v="1167"/>
    <x v="1"/>
    <n v="4"/>
    <n v="2"/>
    <s v="Life Sciences"/>
    <n v="1"/>
    <n v="1259"/>
    <n v="1"/>
    <x v="1"/>
    <n v="76"/>
    <n v="3"/>
    <n v="1"/>
    <s v="Research Scientist"/>
    <n v="3"/>
    <s v="Divorced"/>
    <x v="1"/>
    <n v="2517"/>
    <n v="3208"/>
    <n v="1"/>
    <s v="Yes"/>
    <s v="No"/>
    <n v="11"/>
    <x v="0"/>
    <n v="2"/>
    <n v="80"/>
    <n v="3"/>
    <n v="5"/>
    <n v="2"/>
    <n v="3"/>
    <n v="5"/>
    <n v="3"/>
    <x v="0"/>
    <n v="3"/>
  </r>
  <r>
    <n v="29"/>
    <x v="1"/>
    <s v="Travel_Rarely"/>
    <n v="1329"/>
    <x v="1"/>
    <n v="7"/>
    <n v="3"/>
    <s v="Life Sciences"/>
    <n v="1"/>
    <n v="1260"/>
    <n v="3"/>
    <x v="1"/>
    <n v="82"/>
    <n v="3"/>
    <n v="2"/>
    <s v="Healthcare Representative"/>
    <n v="4"/>
    <s v="Divorced"/>
    <x v="9"/>
    <n v="6623"/>
    <n v="4204"/>
    <n v="1"/>
    <s v="Yes"/>
    <s v="Yes"/>
    <n v="11"/>
    <x v="0"/>
    <n v="2"/>
    <n v="80"/>
    <n v="2"/>
    <n v="6"/>
    <n v="2"/>
    <n v="3"/>
    <n v="6"/>
    <n v="0"/>
    <x v="1"/>
    <n v="0"/>
  </r>
  <r>
    <n v="48"/>
    <x v="1"/>
    <s v="Travel_Rarely"/>
    <n v="715"/>
    <x v="1"/>
    <n v="1"/>
    <n v="3"/>
    <s v="Life Sciences"/>
    <n v="1"/>
    <n v="1263"/>
    <n v="4"/>
    <x v="1"/>
    <n v="76"/>
    <n v="2"/>
    <n v="5"/>
    <s v="Research Director"/>
    <n v="4"/>
    <s v="Single"/>
    <x v="11"/>
    <n v="18265"/>
    <n v="8733"/>
    <n v="6"/>
    <s v="Yes"/>
    <s v="No"/>
    <n v="12"/>
    <x v="0"/>
    <n v="3"/>
    <n v="80"/>
    <n v="0"/>
    <n v="25"/>
    <n v="3"/>
    <n v="4"/>
    <n v="1"/>
    <n v="0"/>
    <x v="0"/>
    <n v="0"/>
  </r>
  <r>
    <n v="29"/>
    <x v="1"/>
    <s v="Travel_Rarely"/>
    <n v="694"/>
    <x v="1"/>
    <n v="1"/>
    <n v="3"/>
    <s v="Life Sciences"/>
    <n v="1"/>
    <n v="1264"/>
    <n v="4"/>
    <x v="0"/>
    <n v="87"/>
    <n v="2"/>
    <n v="4"/>
    <s v="Research Director"/>
    <n v="4"/>
    <s v="Divorced"/>
    <x v="17"/>
    <n v="16124"/>
    <n v="3423"/>
    <n v="3"/>
    <s v="Yes"/>
    <s v="No"/>
    <n v="14"/>
    <x v="0"/>
    <n v="2"/>
    <n v="80"/>
    <n v="2"/>
    <n v="9"/>
    <n v="2"/>
    <n v="2"/>
    <n v="7"/>
    <n v="7"/>
    <x v="1"/>
    <n v="7"/>
  </r>
  <r>
    <n v="34"/>
    <x v="1"/>
    <s v="Travel_Rarely"/>
    <n v="1320"/>
    <x v="1"/>
    <n v="20"/>
    <n v="3"/>
    <s v="Technical Degree"/>
    <n v="1"/>
    <n v="1265"/>
    <n v="3"/>
    <x v="0"/>
    <n v="89"/>
    <n v="4"/>
    <n v="1"/>
    <s v="Research Scientist"/>
    <n v="3"/>
    <s v="Married"/>
    <x v="1"/>
    <n v="2585"/>
    <n v="21643"/>
    <n v="0"/>
    <s v="Yes"/>
    <s v="No"/>
    <n v="17"/>
    <x v="0"/>
    <n v="4"/>
    <n v="80"/>
    <n v="0"/>
    <n v="2"/>
    <n v="5"/>
    <n v="2"/>
    <n v="1"/>
    <n v="0"/>
    <x v="0"/>
    <n v="0"/>
  </r>
  <r>
    <n v="44"/>
    <x v="1"/>
    <s v="Travel_Rarely"/>
    <n v="1099"/>
    <x v="0"/>
    <n v="5"/>
    <n v="3"/>
    <s v="Marketing"/>
    <n v="1"/>
    <n v="1267"/>
    <n v="2"/>
    <x v="1"/>
    <n v="88"/>
    <n v="3"/>
    <n v="5"/>
    <s v="Manager"/>
    <n v="2"/>
    <s v="Married"/>
    <x v="11"/>
    <n v="18213"/>
    <n v="8751"/>
    <n v="7"/>
    <s v="Yes"/>
    <s v="No"/>
    <n v="11"/>
    <x v="0"/>
    <n v="3"/>
    <n v="80"/>
    <n v="1"/>
    <n v="26"/>
    <n v="5"/>
    <n v="3"/>
    <n v="22"/>
    <n v="9"/>
    <x v="2"/>
    <n v="10"/>
  </r>
  <r>
    <n v="33"/>
    <x v="1"/>
    <s v="Travel_Rarely"/>
    <n v="536"/>
    <x v="0"/>
    <n v="10"/>
    <n v="5"/>
    <s v="Marketing"/>
    <n v="1"/>
    <n v="1268"/>
    <n v="4"/>
    <x v="1"/>
    <n v="82"/>
    <n v="4"/>
    <n v="3"/>
    <s v="Sales Executive"/>
    <n v="3"/>
    <s v="Divorced"/>
    <x v="12"/>
    <n v="8380"/>
    <n v="21708"/>
    <n v="0"/>
    <s v="Yes"/>
    <s v="Yes"/>
    <n v="14"/>
    <x v="0"/>
    <n v="4"/>
    <n v="80"/>
    <n v="2"/>
    <n v="10"/>
    <n v="3"/>
    <n v="3"/>
    <n v="9"/>
    <n v="8"/>
    <x v="0"/>
    <n v="8"/>
  </r>
  <r>
    <n v="19"/>
    <x v="1"/>
    <s v="Travel_Rarely"/>
    <n v="265"/>
    <x v="1"/>
    <n v="25"/>
    <n v="3"/>
    <s v="Life Sciences"/>
    <n v="1"/>
    <n v="1269"/>
    <n v="2"/>
    <x v="0"/>
    <n v="57"/>
    <n v="4"/>
    <n v="1"/>
    <s v="Research Scientist"/>
    <n v="4"/>
    <s v="Single"/>
    <x v="1"/>
    <n v="2994"/>
    <n v="21221"/>
    <n v="1"/>
    <s v="Yes"/>
    <s v="Yes"/>
    <n v="12"/>
    <x v="0"/>
    <n v="4"/>
    <n v="80"/>
    <n v="0"/>
    <n v="1"/>
    <n v="2"/>
    <n v="3"/>
    <n v="1"/>
    <n v="0"/>
    <x v="0"/>
    <n v="1"/>
  </r>
  <r>
    <n v="23"/>
    <x v="1"/>
    <s v="Travel_Rarely"/>
    <n v="373"/>
    <x v="1"/>
    <n v="1"/>
    <n v="2"/>
    <s v="Life Sciences"/>
    <n v="1"/>
    <n v="1270"/>
    <n v="4"/>
    <x v="1"/>
    <n v="47"/>
    <n v="3"/>
    <n v="1"/>
    <s v="Research Scientist"/>
    <n v="3"/>
    <s v="Married"/>
    <x v="7"/>
    <n v="1223"/>
    <n v="16901"/>
    <n v="1"/>
    <s v="Yes"/>
    <s v="No"/>
    <n v="22"/>
    <x v="1"/>
    <n v="4"/>
    <n v="80"/>
    <n v="1"/>
    <n v="1"/>
    <n v="2"/>
    <n v="3"/>
    <n v="1"/>
    <n v="0"/>
    <x v="0"/>
    <n v="1"/>
  </r>
  <r>
    <n v="25"/>
    <x v="0"/>
    <s v="Travel_Frequently"/>
    <n v="599"/>
    <x v="0"/>
    <n v="24"/>
    <n v="1"/>
    <s v="Life Sciences"/>
    <n v="1"/>
    <n v="1273"/>
    <n v="3"/>
    <x v="1"/>
    <n v="73"/>
    <n v="1"/>
    <n v="1"/>
    <s v="Sales Representative"/>
    <n v="4"/>
    <s v="Single"/>
    <x v="7"/>
    <n v="1118"/>
    <n v="8040"/>
    <n v="1"/>
    <s v="Yes"/>
    <s v="Yes"/>
    <n v="14"/>
    <x v="0"/>
    <n v="4"/>
    <n v="80"/>
    <n v="0"/>
    <n v="1"/>
    <n v="4"/>
    <n v="3"/>
    <n v="1"/>
    <n v="0"/>
    <x v="1"/>
    <n v="0"/>
  </r>
  <r>
    <n v="26"/>
    <x v="1"/>
    <s v="Travel_Rarely"/>
    <n v="583"/>
    <x v="1"/>
    <n v="4"/>
    <n v="2"/>
    <s v="Life Sciences"/>
    <n v="1"/>
    <n v="1275"/>
    <n v="3"/>
    <x v="1"/>
    <n v="53"/>
    <n v="3"/>
    <n v="1"/>
    <s v="Research Scientist"/>
    <n v="4"/>
    <s v="Single"/>
    <x v="1"/>
    <n v="2875"/>
    <n v="9973"/>
    <n v="1"/>
    <s v="Yes"/>
    <s v="Yes"/>
    <n v="20"/>
    <x v="1"/>
    <n v="2"/>
    <n v="80"/>
    <n v="0"/>
    <n v="8"/>
    <n v="2"/>
    <n v="2"/>
    <n v="8"/>
    <n v="5"/>
    <x v="3"/>
    <n v="2"/>
  </r>
  <r>
    <n v="45"/>
    <x v="0"/>
    <s v="Travel_Rarely"/>
    <n v="1449"/>
    <x v="0"/>
    <n v="2"/>
    <n v="3"/>
    <s v="Marketing"/>
    <n v="1"/>
    <n v="1277"/>
    <n v="1"/>
    <x v="0"/>
    <n v="94"/>
    <n v="1"/>
    <n v="5"/>
    <s v="Manager"/>
    <n v="2"/>
    <s v="Single"/>
    <x v="11"/>
    <n v="18824"/>
    <n v="2493"/>
    <n v="2"/>
    <s v="Yes"/>
    <s v="Yes"/>
    <n v="16"/>
    <x v="0"/>
    <n v="1"/>
    <n v="80"/>
    <n v="0"/>
    <n v="26"/>
    <n v="2"/>
    <n v="3"/>
    <n v="24"/>
    <n v="10"/>
    <x v="1"/>
    <n v="11"/>
  </r>
  <r>
    <n v="55"/>
    <x v="1"/>
    <s v="Non-Travel"/>
    <n v="177"/>
    <x v="1"/>
    <n v="8"/>
    <n v="1"/>
    <s v="Medical"/>
    <n v="1"/>
    <n v="1278"/>
    <n v="4"/>
    <x v="1"/>
    <n v="37"/>
    <n v="2"/>
    <n v="4"/>
    <s v="Healthcare Representative"/>
    <n v="2"/>
    <s v="Divorced"/>
    <x v="13"/>
    <n v="13577"/>
    <n v="25592"/>
    <n v="1"/>
    <s v="Yes"/>
    <s v="Yes"/>
    <n v="15"/>
    <x v="0"/>
    <n v="4"/>
    <n v="80"/>
    <n v="1"/>
    <n v="34"/>
    <n v="3"/>
    <n v="3"/>
    <n v="33"/>
    <n v="9"/>
    <x v="9"/>
    <n v="0"/>
  </r>
  <r>
    <n v="21"/>
    <x v="0"/>
    <s v="Travel_Frequently"/>
    <n v="251"/>
    <x v="1"/>
    <n v="10"/>
    <n v="2"/>
    <s v="Life Sciences"/>
    <n v="1"/>
    <n v="1279"/>
    <n v="1"/>
    <x v="0"/>
    <n v="45"/>
    <n v="2"/>
    <n v="1"/>
    <s v="Laboratory Technician"/>
    <n v="3"/>
    <s v="Single"/>
    <x v="1"/>
    <n v="2625"/>
    <n v="25308"/>
    <n v="1"/>
    <s v="Yes"/>
    <s v="No"/>
    <n v="20"/>
    <x v="1"/>
    <n v="3"/>
    <n v="80"/>
    <n v="0"/>
    <n v="2"/>
    <n v="2"/>
    <n v="1"/>
    <n v="2"/>
    <n v="2"/>
    <x v="3"/>
    <n v="2"/>
  </r>
  <r>
    <n v="46"/>
    <x v="1"/>
    <s v="Travel_Rarely"/>
    <n v="168"/>
    <x v="0"/>
    <n v="4"/>
    <n v="2"/>
    <s v="Marketing"/>
    <n v="1"/>
    <n v="1280"/>
    <n v="4"/>
    <x v="0"/>
    <n v="33"/>
    <n v="2"/>
    <n v="5"/>
    <s v="Manager"/>
    <n v="2"/>
    <s v="Married"/>
    <x v="11"/>
    <n v="18789"/>
    <n v="9946"/>
    <n v="2"/>
    <s v="Yes"/>
    <s v="No"/>
    <n v="14"/>
    <x v="0"/>
    <n v="3"/>
    <n v="80"/>
    <n v="1"/>
    <n v="26"/>
    <n v="2"/>
    <n v="3"/>
    <n v="11"/>
    <n v="4"/>
    <x v="0"/>
    <n v="8"/>
  </r>
  <r>
    <n v="34"/>
    <x v="1"/>
    <s v="Travel_Rarely"/>
    <n v="131"/>
    <x v="0"/>
    <n v="2"/>
    <n v="3"/>
    <s v="Marketing"/>
    <n v="1"/>
    <n v="1281"/>
    <n v="3"/>
    <x v="0"/>
    <n v="86"/>
    <n v="3"/>
    <n v="2"/>
    <s v="Sales Executive"/>
    <n v="1"/>
    <s v="Single"/>
    <x v="4"/>
    <n v="4538"/>
    <n v="6039"/>
    <n v="0"/>
    <s v="Yes"/>
    <s v="Yes"/>
    <n v="12"/>
    <x v="0"/>
    <n v="4"/>
    <n v="80"/>
    <n v="0"/>
    <n v="4"/>
    <n v="3"/>
    <n v="3"/>
    <n v="3"/>
    <n v="2"/>
    <x v="0"/>
    <n v="2"/>
  </r>
  <r>
    <n v="51"/>
    <x v="1"/>
    <s v="Travel_Frequently"/>
    <n v="237"/>
    <x v="0"/>
    <n v="9"/>
    <n v="3"/>
    <s v="Life Sciences"/>
    <n v="1"/>
    <n v="1282"/>
    <n v="4"/>
    <x v="1"/>
    <n v="83"/>
    <n v="3"/>
    <n v="5"/>
    <s v="Manager"/>
    <n v="2"/>
    <s v="Divorced"/>
    <x v="8"/>
    <n v="19847"/>
    <n v="19196"/>
    <n v="4"/>
    <s v="Yes"/>
    <s v="Yes"/>
    <n v="24"/>
    <x v="1"/>
    <n v="1"/>
    <n v="80"/>
    <n v="1"/>
    <n v="31"/>
    <n v="5"/>
    <n v="2"/>
    <n v="29"/>
    <n v="10"/>
    <x v="14"/>
    <n v="10"/>
  </r>
  <r>
    <n v="59"/>
    <x v="1"/>
    <s v="Travel_Rarely"/>
    <n v="1429"/>
    <x v="1"/>
    <n v="18"/>
    <n v="4"/>
    <s v="Medical"/>
    <n v="1"/>
    <n v="1283"/>
    <n v="4"/>
    <x v="1"/>
    <n v="67"/>
    <n v="3"/>
    <n v="3"/>
    <s v="Manufacturing Director"/>
    <n v="4"/>
    <s v="Single"/>
    <x v="10"/>
    <n v="10512"/>
    <n v="20002"/>
    <n v="6"/>
    <s v="Yes"/>
    <s v="No"/>
    <n v="12"/>
    <x v="0"/>
    <n v="4"/>
    <n v="80"/>
    <n v="0"/>
    <n v="25"/>
    <n v="6"/>
    <n v="2"/>
    <n v="9"/>
    <n v="7"/>
    <x v="8"/>
    <n v="4"/>
  </r>
  <r>
    <n v="34"/>
    <x v="1"/>
    <s v="Travel_Frequently"/>
    <n v="135"/>
    <x v="1"/>
    <n v="19"/>
    <n v="3"/>
    <s v="Medical"/>
    <n v="1"/>
    <n v="1285"/>
    <n v="3"/>
    <x v="0"/>
    <n v="46"/>
    <n v="3"/>
    <n v="2"/>
    <s v="Laboratory Technician"/>
    <n v="2"/>
    <s v="Divorced"/>
    <x v="4"/>
    <n v="4444"/>
    <n v="22534"/>
    <n v="4"/>
    <s v="Yes"/>
    <s v="No"/>
    <n v="13"/>
    <x v="0"/>
    <n v="3"/>
    <n v="80"/>
    <n v="2"/>
    <n v="15"/>
    <n v="2"/>
    <n v="4"/>
    <n v="11"/>
    <n v="8"/>
    <x v="8"/>
    <n v="10"/>
  </r>
  <r>
    <n v="28"/>
    <x v="1"/>
    <s v="Travel_Frequently"/>
    <n v="791"/>
    <x v="1"/>
    <n v="1"/>
    <n v="4"/>
    <s v="Medical"/>
    <n v="1"/>
    <n v="1286"/>
    <n v="4"/>
    <x v="1"/>
    <n v="44"/>
    <n v="3"/>
    <n v="1"/>
    <s v="Laboratory Technician"/>
    <n v="3"/>
    <s v="Single"/>
    <x v="1"/>
    <n v="2154"/>
    <n v="6842"/>
    <n v="0"/>
    <s v="Yes"/>
    <s v="Yes"/>
    <n v="11"/>
    <x v="0"/>
    <n v="3"/>
    <n v="80"/>
    <n v="0"/>
    <n v="5"/>
    <n v="2"/>
    <n v="2"/>
    <n v="4"/>
    <n v="2"/>
    <x v="0"/>
    <n v="2"/>
  </r>
  <r>
    <n v="44"/>
    <x v="1"/>
    <s v="Travel_Rarely"/>
    <n v="1199"/>
    <x v="1"/>
    <n v="4"/>
    <n v="2"/>
    <s v="Life Sciences"/>
    <n v="1"/>
    <n v="1288"/>
    <n v="3"/>
    <x v="1"/>
    <n v="92"/>
    <n v="4"/>
    <n v="5"/>
    <s v="Manager"/>
    <n v="1"/>
    <s v="Divorced"/>
    <x v="8"/>
    <n v="19190"/>
    <n v="17477"/>
    <n v="1"/>
    <s v="Yes"/>
    <s v="No"/>
    <n v="14"/>
    <x v="0"/>
    <n v="4"/>
    <n v="80"/>
    <n v="2"/>
    <n v="26"/>
    <n v="4"/>
    <n v="2"/>
    <n v="25"/>
    <n v="9"/>
    <x v="15"/>
    <n v="13"/>
  </r>
  <r>
    <n v="34"/>
    <x v="1"/>
    <s v="Travel_Frequently"/>
    <n v="648"/>
    <x v="2"/>
    <n v="11"/>
    <n v="3"/>
    <s v="Life Sciences"/>
    <n v="1"/>
    <n v="1289"/>
    <n v="3"/>
    <x v="1"/>
    <n v="56"/>
    <n v="2"/>
    <n v="2"/>
    <s v="Human Resources"/>
    <n v="2"/>
    <s v="Married"/>
    <x v="4"/>
    <n v="4490"/>
    <n v="21833"/>
    <n v="4"/>
    <s v="Yes"/>
    <s v="No"/>
    <n v="11"/>
    <x v="0"/>
    <n v="4"/>
    <n v="80"/>
    <n v="2"/>
    <n v="14"/>
    <n v="5"/>
    <n v="4"/>
    <n v="10"/>
    <n v="9"/>
    <x v="1"/>
    <n v="8"/>
  </r>
  <r>
    <n v="35"/>
    <x v="1"/>
    <s v="Travel_Rarely"/>
    <n v="735"/>
    <x v="1"/>
    <n v="6"/>
    <n v="1"/>
    <s v="Life Sciences"/>
    <n v="1"/>
    <n v="1291"/>
    <n v="3"/>
    <x v="1"/>
    <n v="66"/>
    <n v="3"/>
    <n v="1"/>
    <s v="Research Scientist"/>
    <n v="3"/>
    <s v="Married"/>
    <x v="2"/>
    <n v="3506"/>
    <n v="6020"/>
    <n v="0"/>
    <s v="Yes"/>
    <s v="Yes"/>
    <n v="14"/>
    <x v="0"/>
    <n v="4"/>
    <n v="80"/>
    <n v="0"/>
    <n v="4"/>
    <n v="3"/>
    <n v="3"/>
    <n v="3"/>
    <n v="2"/>
    <x v="3"/>
    <n v="2"/>
  </r>
  <r>
    <n v="42"/>
    <x v="1"/>
    <s v="Travel_Rarely"/>
    <n v="603"/>
    <x v="1"/>
    <n v="7"/>
    <n v="4"/>
    <s v="Medical"/>
    <n v="1"/>
    <n v="1292"/>
    <n v="2"/>
    <x v="0"/>
    <n v="78"/>
    <n v="4"/>
    <n v="2"/>
    <s v="Research Scientist"/>
    <n v="2"/>
    <s v="Married"/>
    <x v="1"/>
    <n v="2372"/>
    <n v="5628"/>
    <n v="6"/>
    <s v="Yes"/>
    <s v="Yes"/>
    <n v="16"/>
    <x v="0"/>
    <n v="4"/>
    <n v="80"/>
    <n v="0"/>
    <n v="18"/>
    <n v="2"/>
    <n v="3"/>
    <n v="1"/>
    <n v="0"/>
    <x v="0"/>
    <n v="0"/>
  </r>
  <r>
    <n v="43"/>
    <x v="1"/>
    <s v="Travel_Rarely"/>
    <n v="531"/>
    <x v="0"/>
    <n v="4"/>
    <n v="4"/>
    <s v="Marketing"/>
    <n v="1"/>
    <n v="1293"/>
    <n v="4"/>
    <x v="0"/>
    <n v="56"/>
    <n v="2"/>
    <n v="3"/>
    <s v="Sales Executive"/>
    <n v="4"/>
    <s v="Single"/>
    <x v="10"/>
    <n v="10231"/>
    <n v="20364"/>
    <n v="3"/>
    <s v="Yes"/>
    <s v="No"/>
    <n v="14"/>
    <x v="0"/>
    <n v="4"/>
    <n v="80"/>
    <n v="0"/>
    <n v="23"/>
    <n v="3"/>
    <n v="4"/>
    <n v="21"/>
    <n v="7"/>
    <x v="9"/>
    <n v="17"/>
  </r>
  <r>
    <n v="36"/>
    <x v="1"/>
    <s v="Travel_Rarely"/>
    <n v="429"/>
    <x v="1"/>
    <n v="2"/>
    <n v="4"/>
    <s v="Life Sciences"/>
    <n v="1"/>
    <n v="1294"/>
    <n v="3"/>
    <x v="0"/>
    <n v="53"/>
    <n v="3"/>
    <n v="2"/>
    <s v="Manufacturing Director"/>
    <n v="2"/>
    <s v="Single"/>
    <x v="0"/>
    <n v="5410"/>
    <n v="2323"/>
    <n v="9"/>
    <s v="Yes"/>
    <s v="Yes"/>
    <n v="11"/>
    <x v="0"/>
    <n v="4"/>
    <n v="80"/>
    <n v="0"/>
    <n v="18"/>
    <n v="2"/>
    <n v="3"/>
    <n v="16"/>
    <n v="14"/>
    <x v="8"/>
    <n v="12"/>
  </r>
  <r>
    <n v="44"/>
    <x v="0"/>
    <s v="Travel_Rarely"/>
    <n v="621"/>
    <x v="1"/>
    <n v="15"/>
    <n v="3"/>
    <s v="Medical"/>
    <n v="1"/>
    <n v="1295"/>
    <n v="1"/>
    <x v="0"/>
    <n v="73"/>
    <n v="3"/>
    <n v="3"/>
    <s v="Healthcare Representative"/>
    <n v="4"/>
    <s v="Married"/>
    <x v="14"/>
    <n v="7978"/>
    <n v="14075"/>
    <n v="1"/>
    <s v="Yes"/>
    <s v="No"/>
    <n v="11"/>
    <x v="0"/>
    <n v="4"/>
    <n v="80"/>
    <n v="1"/>
    <n v="10"/>
    <n v="2"/>
    <n v="3"/>
    <n v="10"/>
    <n v="7"/>
    <x v="0"/>
    <n v="5"/>
  </r>
  <r>
    <n v="28"/>
    <x v="1"/>
    <s v="Travel_Frequently"/>
    <n v="193"/>
    <x v="1"/>
    <n v="2"/>
    <n v="3"/>
    <s v="Life Sciences"/>
    <n v="1"/>
    <n v="1296"/>
    <n v="4"/>
    <x v="1"/>
    <n v="52"/>
    <n v="2"/>
    <n v="1"/>
    <s v="Laboratory Technician"/>
    <n v="4"/>
    <s v="Married"/>
    <x v="2"/>
    <n v="3867"/>
    <n v="14222"/>
    <n v="1"/>
    <s v="Yes"/>
    <s v="Yes"/>
    <n v="12"/>
    <x v="0"/>
    <n v="2"/>
    <n v="80"/>
    <n v="1"/>
    <n v="2"/>
    <n v="2"/>
    <n v="3"/>
    <n v="2"/>
    <n v="2"/>
    <x v="3"/>
    <n v="2"/>
  </r>
  <r>
    <n v="51"/>
    <x v="1"/>
    <s v="Travel_Frequently"/>
    <n v="968"/>
    <x v="1"/>
    <n v="6"/>
    <n v="2"/>
    <s v="Medical"/>
    <n v="1"/>
    <n v="1297"/>
    <n v="2"/>
    <x v="0"/>
    <n v="40"/>
    <n v="2"/>
    <n v="1"/>
    <s v="Laboratory Technician"/>
    <n v="3"/>
    <s v="Single"/>
    <x v="1"/>
    <n v="2838"/>
    <n v="4257"/>
    <n v="0"/>
    <s v="Yes"/>
    <s v="No"/>
    <n v="14"/>
    <x v="0"/>
    <n v="2"/>
    <n v="80"/>
    <n v="0"/>
    <n v="8"/>
    <n v="6"/>
    <n v="2"/>
    <n v="7"/>
    <n v="0"/>
    <x v="4"/>
    <n v="7"/>
  </r>
  <r>
    <n v="30"/>
    <x v="1"/>
    <s v="Non-Travel"/>
    <n v="879"/>
    <x v="1"/>
    <n v="9"/>
    <n v="2"/>
    <s v="Medical"/>
    <n v="1"/>
    <n v="1298"/>
    <n v="3"/>
    <x v="0"/>
    <n v="72"/>
    <n v="3"/>
    <n v="2"/>
    <s v="Manufacturing Director"/>
    <n v="3"/>
    <s v="Single"/>
    <x v="4"/>
    <n v="4695"/>
    <n v="12858"/>
    <n v="7"/>
    <s v="Yes"/>
    <s v="Yes"/>
    <n v="18"/>
    <x v="0"/>
    <n v="3"/>
    <n v="80"/>
    <n v="0"/>
    <n v="10"/>
    <n v="3"/>
    <n v="3"/>
    <n v="8"/>
    <n v="4"/>
    <x v="1"/>
    <n v="7"/>
  </r>
  <r>
    <n v="29"/>
    <x v="0"/>
    <s v="Travel_Rarely"/>
    <n v="806"/>
    <x v="1"/>
    <n v="7"/>
    <n v="3"/>
    <s v="Technical Degree"/>
    <n v="1"/>
    <n v="1299"/>
    <n v="2"/>
    <x v="0"/>
    <n v="39"/>
    <n v="3"/>
    <n v="1"/>
    <s v="Laboratory Technician"/>
    <n v="3"/>
    <s v="Divorced"/>
    <x v="2"/>
    <n v="3339"/>
    <n v="17285"/>
    <n v="3"/>
    <s v="Yes"/>
    <s v="Yes"/>
    <n v="13"/>
    <x v="0"/>
    <n v="1"/>
    <n v="80"/>
    <n v="2"/>
    <n v="10"/>
    <n v="2"/>
    <n v="3"/>
    <n v="7"/>
    <n v="7"/>
    <x v="4"/>
    <n v="7"/>
  </r>
  <r>
    <n v="28"/>
    <x v="1"/>
    <s v="Travel_Rarely"/>
    <n v="640"/>
    <x v="1"/>
    <n v="1"/>
    <n v="3"/>
    <s v="Technical Degree"/>
    <n v="1"/>
    <n v="1301"/>
    <n v="4"/>
    <x v="1"/>
    <n v="84"/>
    <n v="3"/>
    <n v="1"/>
    <s v="Research Scientist"/>
    <n v="1"/>
    <s v="Single"/>
    <x v="1"/>
    <n v="2080"/>
    <n v="4732"/>
    <n v="2"/>
    <s v="Yes"/>
    <s v="No"/>
    <n v="11"/>
    <x v="0"/>
    <n v="2"/>
    <n v="80"/>
    <n v="0"/>
    <n v="5"/>
    <n v="2"/>
    <n v="2"/>
    <n v="3"/>
    <n v="2"/>
    <x v="1"/>
    <n v="2"/>
  </r>
  <r>
    <n v="25"/>
    <x v="1"/>
    <s v="Travel_Rarely"/>
    <n v="266"/>
    <x v="1"/>
    <n v="1"/>
    <n v="3"/>
    <s v="Medical"/>
    <n v="1"/>
    <n v="1303"/>
    <n v="4"/>
    <x v="0"/>
    <n v="40"/>
    <n v="3"/>
    <n v="1"/>
    <s v="Research Scientist"/>
    <n v="2"/>
    <s v="Single"/>
    <x v="1"/>
    <n v="2096"/>
    <n v="18830"/>
    <n v="1"/>
    <s v="Yes"/>
    <s v="No"/>
    <n v="18"/>
    <x v="0"/>
    <n v="4"/>
    <n v="80"/>
    <n v="0"/>
    <n v="2"/>
    <n v="3"/>
    <n v="2"/>
    <n v="2"/>
    <n v="2"/>
    <x v="3"/>
    <n v="1"/>
  </r>
  <r>
    <n v="32"/>
    <x v="1"/>
    <s v="Travel_Rarely"/>
    <n v="604"/>
    <x v="0"/>
    <n v="8"/>
    <n v="3"/>
    <s v="Medical"/>
    <n v="1"/>
    <n v="1304"/>
    <n v="3"/>
    <x v="1"/>
    <n v="56"/>
    <n v="4"/>
    <n v="2"/>
    <s v="Sales Executive"/>
    <n v="4"/>
    <s v="Married"/>
    <x v="9"/>
    <n v="6209"/>
    <n v="11693"/>
    <n v="1"/>
    <s v="Yes"/>
    <s v="No"/>
    <n v="15"/>
    <x v="0"/>
    <n v="3"/>
    <n v="80"/>
    <n v="2"/>
    <n v="10"/>
    <n v="4"/>
    <n v="4"/>
    <n v="10"/>
    <n v="7"/>
    <x v="0"/>
    <n v="8"/>
  </r>
  <r>
    <n v="45"/>
    <x v="1"/>
    <s v="Travel_Frequently"/>
    <n v="364"/>
    <x v="1"/>
    <n v="25"/>
    <n v="3"/>
    <s v="Medical"/>
    <n v="1"/>
    <n v="1306"/>
    <n v="2"/>
    <x v="0"/>
    <n v="83"/>
    <n v="3"/>
    <n v="5"/>
    <s v="Manager"/>
    <n v="2"/>
    <s v="Single"/>
    <x v="11"/>
    <n v="18061"/>
    <n v="13035"/>
    <n v="3"/>
    <s v="Yes"/>
    <s v="No"/>
    <n v="22"/>
    <x v="1"/>
    <n v="3"/>
    <n v="80"/>
    <n v="0"/>
    <n v="22"/>
    <n v="4"/>
    <n v="3"/>
    <n v="0"/>
    <n v="0"/>
    <x v="0"/>
    <n v="0"/>
  </r>
  <r>
    <n v="39"/>
    <x v="1"/>
    <s v="Travel_Rarely"/>
    <n v="412"/>
    <x v="1"/>
    <n v="13"/>
    <n v="4"/>
    <s v="Medical"/>
    <n v="1"/>
    <n v="1307"/>
    <n v="3"/>
    <x v="0"/>
    <n v="94"/>
    <n v="2"/>
    <n v="4"/>
    <s v="Manager"/>
    <n v="2"/>
    <s v="Divorced"/>
    <x v="16"/>
    <n v="17123"/>
    <n v="17334"/>
    <n v="6"/>
    <s v="Yes"/>
    <s v="Yes"/>
    <n v="13"/>
    <x v="0"/>
    <n v="4"/>
    <n v="80"/>
    <n v="2"/>
    <n v="21"/>
    <n v="4"/>
    <n v="3"/>
    <n v="19"/>
    <n v="9"/>
    <x v="9"/>
    <n v="2"/>
  </r>
  <r>
    <n v="58"/>
    <x v="1"/>
    <s v="Travel_Rarely"/>
    <n v="848"/>
    <x v="1"/>
    <n v="23"/>
    <n v="4"/>
    <s v="Life Sciences"/>
    <n v="1"/>
    <n v="1308"/>
    <n v="1"/>
    <x v="1"/>
    <n v="88"/>
    <n v="3"/>
    <n v="1"/>
    <s v="Research Scientist"/>
    <n v="3"/>
    <s v="Divorced"/>
    <x v="1"/>
    <n v="2372"/>
    <n v="26076"/>
    <n v="1"/>
    <s v="Yes"/>
    <s v="No"/>
    <n v="12"/>
    <x v="0"/>
    <n v="4"/>
    <n v="80"/>
    <n v="2"/>
    <n v="2"/>
    <n v="3"/>
    <n v="3"/>
    <n v="2"/>
    <n v="2"/>
    <x v="3"/>
    <n v="2"/>
  </r>
  <r>
    <n v="32"/>
    <x v="0"/>
    <s v="Travel_Rarely"/>
    <n v="1089"/>
    <x v="1"/>
    <n v="7"/>
    <n v="2"/>
    <s v="Life Sciences"/>
    <n v="1"/>
    <n v="1309"/>
    <n v="4"/>
    <x v="1"/>
    <n v="79"/>
    <n v="3"/>
    <n v="2"/>
    <s v="Laboratory Technician"/>
    <n v="3"/>
    <s v="Married"/>
    <x v="4"/>
    <n v="4883"/>
    <n v="22845"/>
    <n v="1"/>
    <s v="Yes"/>
    <s v="No"/>
    <n v="18"/>
    <x v="0"/>
    <n v="1"/>
    <n v="80"/>
    <n v="1"/>
    <n v="10"/>
    <n v="3"/>
    <n v="3"/>
    <n v="10"/>
    <n v="4"/>
    <x v="1"/>
    <n v="1"/>
  </r>
  <r>
    <n v="39"/>
    <x v="0"/>
    <s v="Travel_Rarely"/>
    <n v="360"/>
    <x v="1"/>
    <n v="23"/>
    <n v="3"/>
    <s v="Medical"/>
    <n v="1"/>
    <n v="1310"/>
    <n v="3"/>
    <x v="1"/>
    <n v="93"/>
    <n v="3"/>
    <n v="1"/>
    <s v="Research Scientist"/>
    <n v="1"/>
    <s v="Single"/>
    <x v="2"/>
    <n v="3904"/>
    <n v="22154"/>
    <n v="0"/>
    <s v="Yes"/>
    <s v="No"/>
    <n v="13"/>
    <x v="0"/>
    <n v="1"/>
    <n v="80"/>
    <n v="0"/>
    <n v="6"/>
    <n v="2"/>
    <n v="3"/>
    <n v="5"/>
    <n v="2"/>
    <x v="0"/>
    <n v="3"/>
  </r>
  <r>
    <n v="30"/>
    <x v="1"/>
    <s v="Travel_Rarely"/>
    <n v="1138"/>
    <x v="1"/>
    <n v="6"/>
    <n v="3"/>
    <s v="Technical Degree"/>
    <n v="1"/>
    <n v="1311"/>
    <n v="1"/>
    <x v="0"/>
    <n v="48"/>
    <n v="2"/>
    <n v="2"/>
    <s v="Laboratory Technician"/>
    <n v="4"/>
    <s v="Married"/>
    <x v="4"/>
    <n v="4627"/>
    <n v="23631"/>
    <n v="0"/>
    <s v="Yes"/>
    <s v="No"/>
    <n v="12"/>
    <x v="0"/>
    <n v="1"/>
    <n v="80"/>
    <n v="1"/>
    <n v="10"/>
    <n v="6"/>
    <n v="3"/>
    <n v="9"/>
    <n v="2"/>
    <x v="7"/>
    <n v="7"/>
  </r>
  <r>
    <n v="36"/>
    <x v="1"/>
    <s v="Travel_Rarely"/>
    <n v="325"/>
    <x v="1"/>
    <n v="10"/>
    <n v="4"/>
    <s v="Technical Degree"/>
    <n v="1"/>
    <n v="1312"/>
    <n v="4"/>
    <x v="0"/>
    <n v="63"/>
    <n v="3"/>
    <n v="3"/>
    <s v="Healthcare Representative"/>
    <n v="3"/>
    <s v="Married"/>
    <x v="14"/>
    <n v="7094"/>
    <n v="5747"/>
    <n v="3"/>
    <s v="Yes"/>
    <s v="No"/>
    <n v="12"/>
    <x v="0"/>
    <n v="1"/>
    <n v="80"/>
    <n v="0"/>
    <n v="10"/>
    <n v="0"/>
    <n v="3"/>
    <n v="7"/>
    <n v="7"/>
    <x v="1"/>
    <n v="7"/>
  </r>
  <r>
    <n v="46"/>
    <x v="1"/>
    <s v="Travel_Rarely"/>
    <n v="991"/>
    <x v="2"/>
    <n v="1"/>
    <n v="2"/>
    <s v="Life Sciences"/>
    <n v="1"/>
    <n v="1314"/>
    <n v="4"/>
    <x v="0"/>
    <n v="44"/>
    <n v="3"/>
    <n v="1"/>
    <s v="Human Resources"/>
    <n v="1"/>
    <s v="Single"/>
    <x v="2"/>
    <n v="3423"/>
    <n v="22957"/>
    <n v="6"/>
    <s v="Yes"/>
    <s v="No"/>
    <n v="12"/>
    <x v="0"/>
    <n v="3"/>
    <n v="80"/>
    <n v="0"/>
    <n v="10"/>
    <n v="3"/>
    <n v="4"/>
    <n v="7"/>
    <n v="6"/>
    <x v="8"/>
    <n v="7"/>
  </r>
  <r>
    <n v="28"/>
    <x v="1"/>
    <s v="Non-Travel"/>
    <n v="1476"/>
    <x v="1"/>
    <n v="1"/>
    <n v="3"/>
    <s v="Life Sciences"/>
    <n v="1"/>
    <n v="1315"/>
    <n v="3"/>
    <x v="0"/>
    <n v="55"/>
    <n v="1"/>
    <n v="2"/>
    <s v="Laboratory Technician"/>
    <n v="4"/>
    <s v="Married"/>
    <x v="9"/>
    <n v="6674"/>
    <n v="16392"/>
    <n v="0"/>
    <s v="Yes"/>
    <s v="No"/>
    <n v="11"/>
    <x v="0"/>
    <n v="1"/>
    <n v="80"/>
    <n v="3"/>
    <n v="10"/>
    <n v="6"/>
    <n v="3"/>
    <n v="9"/>
    <n v="8"/>
    <x v="4"/>
    <n v="5"/>
  </r>
  <r>
    <n v="50"/>
    <x v="1"/>
    <s v="Travel_Rarely"/>
    <n v="1322"/>
    <x v="1"/>
    <n v="28"/>
    <n v="3"/>
    <s v="Life Sciences"/>
    <n v="1"/>
    <n v="1317"/>
    <n v="4"/>
    <x v="0"/>
    <n v="43"/>
    <n v="3"/>
    <n v="4"/>
    <s v="Research Director"/>
    <n v="1"/>
    <s v="Married"/>
    <x v="17"/>
    <n v="16880"/>
    <n v="22422"/>
    <n v="4"/>
    <s v="Yes"/>
    <s v="Yes"/>
    <n v="11"/>
    <x v="0"/>
    <n v="2"/>
    <n v="80"/>
    <n v="0"/>
    <n v="25"/>
    <n v="2"/>
    <n v="3"/>
    <n v="3"/>
    <n v="2"/>
    <x v="1"/>
    <n v="2"/>
  </r>
  <r>
    <n v="40"/>
    <x v="0"/>
    <s v="Travel_Rarely"/>
    <n v="299"/>
    <x v="0"/>
    <n v="25"/>
    <n v="4"/>
    <s v="Marketing"/>
    <n v="1"/>
    <n v="1318"/>
    <n v="4"/>
    <x v="1"/>
    <n v="57"/>
    <n v="2"/>
    <n v="3"/>
    <s v="Sales Executive"/>
    <n v="2"/>
    <s v="Single"/>
    <x v="3"/>
    <n v="9094"/>
    <n v="17235"/>
    <n v="2"/>
    <s v="Yes"/>
    <s v="Yes"/>
    <n v="12"/>
    <x v="0"/>
    <n v="3"/>
    <n v="80"/>
    <n v="0"/>
    <n v="9"/>
    <n v="2"/>
    <n v="3"/>
    <n v="5"/>
    <n v="4"/>
    <x v="1"/>
    <n v="0"/>
  </r>
  <r>
    <n v="52"/>
    <x v="0"/>
    <s v="Travel_Rarely"/>
    <n v="1030"/>
    <x v="0"/>
    <n v="5"/>
    <n v="3"/>
    <s v="Life Sciences"/>
    <n v="1"/>
    <n v="1319"/>
    <n v="2"/>
    <x v="1"/>
    <n v="64"/>
    <n v="3"/>
    <n v="3"/>
    <s v="Sales Executive"/>
    <n v="2"/>
    <s v="Single"/>
    <x v="12"/>
    <n v="8446"/>
    <n v="21534"/>
    <n v="9"/>
    <s v="Yes"/>
    <s v="Yes"/>
    <n v="19"/>
    <x v="0"/>
    <n v="3"/>
    <n v="80"/>
    <n v="0"/>
    <n v="10"/>
    <n v="2"/>
    <n v="2"/>
    <n v="8"/>
    <n v="7"/>
    <x v="4"/>
    <n v="7"/>
  </r>
  <r>
    <n v="30"/>
    <x v="1"/>
    <s v="Travel_Rarely"/>
    <n v="634"/>
    <x v="1"/>
    <n v="17"/>
    <n v="4"/>
    <s v="Medical"/>
    <n v="1"/>
    <n v="1321"/>
    <n v="2"/>
    <x v="0"/>
    <n v="95"/>
    <n v="3"/>
    <n v="3"/>
    <s v="Manager"/>
    <n v="1"/>
    <s v="Married"/>
    <x v="6"/>
    <n v="11916"/>
    <n v="25927"/>
    <n v="1"/>
    <s v="Yes"/>
    <s v="Yes"/>
    <n v="23"/>
    <x v="1"/>
    <n v="4"/>
    <n v="80"/>
    <n v="2"/>
    <n v="9"/>
    <n v="2"/>
    <n v="3"/>
    <n v="9"/>
    <n v="1"/>
    <x v="0"/>
    <n v="8"/>
  </r>
  <r>
    <n v="39"/>
    <x v="1"/>
    <s v="Travel_Rarely"/>
    <n v="524"/>
    <x v="1"/>
    <n v="18"/>
    <n v="2"/>
    <s v="Life Sciences"/>
    <n v="1"/>
    <n v="1322"/>
    <n v="1"/>
    <x v="1"/>
    <n v="32"/>
    <n v="3"/>
    <n v="2"/>
    <s v="Manufacturing Director"/>
    <n v="3"/>
    <s v="Single"/>
    <x v="4"/>
    <n v="4534"/>
    <n v="13352"/>
    <n v="0"/>
    <s v="Yes"/>
    <s v="No"/>
    <n v="11"/>
    <x v="0"/>
    <n v="1"/>
    <n v="80"/>
    <n v="0"/>
    <n v="9"/>
    <n v="6"/>
    <n v="3"/>
    <n v="8"/>
    <n v="7"/>
    <x v="1"/>
    <n v="7"/>
  </r>
  <r>
    <n v="31"/>
    <x v="1"/>
    <s v="Non-Travel"/>
    <n v="587"/>
    <x v="0"/>
    <n v="2"/>
    <n v="4"/>
    <s v="Life Sciences"/>
    <n v="1"/>
    <n v="1324"/>
    <n v="4"/>
    <x v="0"/>
    <n v="57"/>
    <n v="3"/>
    <n v="3"/>
    <s v="Sales Executive"/>
    <n v="3"/>
    <s v="Divorced"/>
    <x v="3"/>
    <n v="9852"/>
    <n v="8935"/>
    <n v="1"/>
    <s v="Yes"/>
    <s v="Yes"/>
    <n v="19"/>
    <x v="0"/>
    <n v="1"/>
    <n v="80"/>
    <n v="1"/>
    <n v="10"/>
    <n v="5"/>
    <n v="2"/>
    <n v="10"/>
    <n v="8"/>
    <x v="10"/>
    <n v="6"/>
  </r>
  <r>
    <n v="41"/>
    <x v="1"/>
    <s v="Non-Travel"/>
    <n v="256"/>
    <x v="0"/>
    <n v="10"/>
    <n v="2"/>
    <s v="Medical"/>
    <n v="1"/>
    <n v="1329"/>
    <n v="3"/>
    <x v="1"/>
    <n v="40"/>
    <n v="1"/>
    <n v="2"/>
    <s v="Sales Executive"/>
    <n v="2"/>
    <s v="Single"/>
    <x v="9"/>
    <n v="6151"/>
    <n v="22074"/>
    <n v="1"/>
    <s v="Yes"/>
    <s v="No"/>
    <n v="13"/>
    <x v="0"/>
    <n v="1"/>
    <n v="80"/>
    <n v="0"/>
    <n v="19"/>
    <n v="4"/>
    <n v="3"/>
    <n v="19"/>
    <n v="2"/>
    <x v="14"/>
    <n v="9"/>
  </r>
  <r>
    <n v="31"/>
    <x v="0"/>
    <s v="Travel_Frequently"/>
    <n v="1060"/>
    <x v="0"/>
    <n v="1"/>
    <n v="3"/>
    <s v="Life Sciences"/>
    <n v="1"/>
    <n v="1331"/>
    <n v="4"/>
    <x v="0"/>
    <n v="54"/>
    <n v="3"/>
    <n v="1"/>
    <s v="Sales Representative"/>
    <n v="2"/>
    <s v="Single"/>
    <x v="1"/>
    <n v="2302"/>
    <n v="8319"/>
    <n v="1"/>
    <s v="Yes"/>
    <s v="Yes"/>
    <n v="11"/>
    <x v="0"/>
    <n v="1"/>
    <n v="80"/>
    <n v="0"/>
    <n v="3"/>
    <n v="2"/>
    <n v="4"/>
    <n v="3"/>
    <n v="2"/>
    <x v="3"/>
    <n v="2"/>
  </r>
  <r>
    <n v="44"/>
    <x v="0"/>
    <s v="Travel_Rarely"/>
    <n v="935"/>
    <x v="1"/>
    <n v="3"/>
    <n v="3"/>
    <s v="Life Sciences"/>
    <n v="1"/>
    <n v="1333"/>
    <n v="1"/>
    <x v="1"/>
    <n v="89"/>
    <n v="3"/>
    <n v="1"/>
    <s v="Laboratory Technician"/>
    <n v="1"/>
    <s v="Married"/>
    <x v="1"/>
    <n v="2362"/>
    <n v="14669"/>
    <n v="4"/>
    <s v="Yes"/>
    <s v="No"/>
    <n v="12"/>
    <x v="0"/>
    <n v="3"/>
    <n v="80"/>
    <n v="0"/>
    <n v="10"/>
    <n v="4"/>
    <n v="4"/>
    <n v="3"/>
    <n v="2"/>
    <x v="1"/>
    <n v="2"/>
  </r>
  <r>
    <n v="42"/>
    <x v="1"/>
    <s v="Non-Travel"/>
    <n v="495"/>
    <x v="1"/>
    <n v="2"/>
    <n v="1"/>
    <s v="Life Sciences"/>
    <n v="1"/>
    <n v="1334"/>
    <n v="3"/>
    <x v="1"/>
    <n v="37"/>
    <n v="3"/>
    <n v="4"/>
    <s v="Manager"/>
    <n v="3"/>
    <s v="Married"/>
    <x v="16"/>
    <n v="17861"/>
    <n v="26582"/>
    <n v="0"/>
    <s v="Yes"/>
    <s v="Yes"/>
    <n v="13"/>
    <x v="0"/>
    <n v="4"/>
    <n v="80"/>
    <n v="0"/>
    <n v="21"/>
    <n v="3"/>
    <n v="2"/>
    <n v="20"/>
    <n v="8"/>
    <x v="3"/>
    <n v="10"/>
  </r>
  <r>
    <n v="55"/>
    <x v="1"/>
    <s v="Travel_Rarely"/>
    <n v="282"/>
    <x v="1"/>
    <n v="2"/>
    <n v="2"/>
    <s v="Medical"/>
    <n v="1"/>
    <n v="1336"/>
    <n v="4"/>
    <x v="0"/>
    <n v="58"/>
    <n v="1"/>
    <n v="5"/>
    <s v="Manager"/>
    <n v="3"/>
    <s v="Married"/>
    <x v="8"/>
    <n v="19187"/>
    <n v="6992"/>
    <n v="4"/>
    <s v="Yes"/>
    <s v="No"/>
    <n v="14"/>
    <x v="0"/>
    <n v="4"/>
    <n v="80"/>
    <n v="1"/>
    <n v="23"/>
    <n v="5"/>
    <n v="3"/>
    <n v="19"/>
    <n v="9"/>
    <x v="10"/>
    <n v="11"/>
  </r>
  <r>
    <n v="56"/>
    <x v="1"/>
    <s v="Travel_Rarely"/>
    <n v="206"/>
    <x v="2"/>
    <n v="8"/>
    <n v="4"/>
    <s v="Life Sciences"/>
    <n v="1"/>
    <n v="1338"/>
    <n v="4"/>
    <x v="1"/>
    <n v="99"/>
    <n v="3"/>
    <n v="5"/>
    <s v="Manager"/>
    <n v="2"/>
    <s v="Single"/>
    <x v="8"/>
    <n v="19717"/>
    <n v="4022"/>
    <n v="6"/>
    <s v="Yes"/>
    <s v="No"/>
    <n v="14"/>
    <x v="0"/>
    <n v="1"/>
    <n v="80"/>
    <n v="0"/>
    <n v="36"/>
    <n v="4"/>
    <n v="3"/>
    <n v="7"/>
    <n v="3"/>
    <x v="4"/>
    <n v="7"/>
  </r>
  <r>
    <n v="40"/>
    <x v="1"/>
    <s v="Non-Travel"/>
    <n v="458"/>
    <x v="1"/>
    <n v="16"/>
    <n v="2"/>
    <s v="Life Sciences"/>
    <n v="1"/>
    <n v="1340"/>
    <n v="3"/>
    <x v="1"/>
    <n v="74"/>
    <n v="3"/>
    <n v="1"/>
    <s v="Research Scientist"/>
    <n v="3"/>
    <s v="Divorced"/>
    <x v="2"/>
    <n v="3544"/>
    <n v="8532"/>
    <n v="9"/>
    <s v="Yes"/>
    <s v="No"/>
    <n v="16"/>
    <x v="0"/>
    <n v="2"/>
    <n v="80"/>
    <n v="1"/>
    <n v="6"/>
    <n v="0"/>
    <n v="3"/>
    <n v="4"/>
    <n v="2"/>
    <x v="0"/>
    <n v="0"/>
  </r>
  <r>
    <n v="34"/>
    <x v="1"/>
    <s v="Travel_Rarely"/>
    <n v="943"/>
    <x v="1"/>
    <n v="9"/>
    <n v="3"/>
    <s v="Life Sciences"/>
    <n v="1"/>
    <n v="1344"/>
    <n v="4"/>
    <x v="1"/>
    <n v="86"/>
    <n v="3"/>
    <n v="3"/>
    <s v="Healthcare Representative"/>
    <n v="4"/>
    <s v="Divorced"/>
    <x v="12"/>
    <n v="8500"/>
    <n v="5494"/>
    <n v="0"/>
    <s v="Yes"/>
    <s v="No"/>
    <n v="11"/>
    <x v="0"/>
    <n v="4"/>
    <n v="80"/>
    <n v="1"/>
    <n v="10"/>
    <n v="0"/>
    <n v="2"/>
    <n v="9"/>
    <n v="7"/>
    <x v="1"/>
    <n v="6"/>
  </r>
  <r>
    <n v="40"/>
    <x v="1"/>
    <s v="Travel_Rarely"/>
    <n v="523"/>
    <x v="1"/>
    <n v="2"/>
    <n v="3"/>
    <s v="Life Sciences"/>
    <n v="1"/>
    <n v="1346"/>
    <n v="3"/>
    <x v="1"/>
    <n v="98"/>
    <n v="3"/>
    <n v="2"/>
    <s v="Research Scientist"/>
    <n v="4"/>
    <s v="Single"/>
    <x v="4"/>
    <n v="4661"/>
    <n v="22455"/>
    <n v="1"/>
    <s v="Yes"/>
    <s v="No"/>
    <n v="13"/>
    <x v="0"/>
    <n v="3"/>
    <n v="80"/>
    <n v="0"/>
    <n v="9"/>
    <n v="4"/>
    <n v="3"/>
    <n v="9"/>
    <n v="8"/>
    <x v="6"/>
    <n v="8"/>
  </r>
  <r>
    <n v="41"/>
    <x v="1"/>
    <s v="Travel_Frequently"/>
    <n v="1018"/>
    <x v="0"/>
    <n v="1"/>
    <n v="3"/>
    <s v="Marketing"/>
    <n v="1"/>
    <n v="1349"/>
    <n v="3"/>
    <x v="0"/>
    <n v="66"/>
    <n v="3"/>
    <n v="2"/>
    <s v="Sales Executive"/>
    <n v="1"/>
    <s v="Divorced"/>
    <x v="4"/>
    <n v="4103"/>
    <n v="4297"/>
    <n v="0"/>
    <s v="Yes"/>
    <s v="No"/>
    <n v="17"/>
    <x v="0"/>
    <n v="4"/>
    <n v="80"/>
    <n v="1"/>
    <n v="10"/>
    <n v="2"/>
    <n v="3"/>
    <n v="9"/>
    <n v="3"/>
    <x v="1"/>
    <n v="7"/>
  </r>
  <r>
    <n v="35"/>
    <x v="1"/>
    <s v="Travel_Frequently"/>
    <n v="482"/>
    <x v="1"/>
    <n v="4"/>
    <n v="4"/>
    <s v="Life Sciences"/>
    <n v="1"/>
    <n v="1350"/>
    <n v="3"/>
    <x v="1"/>
    <n v="87"/>
    <n v="3"/>
    <n v="2"/>
    <s v="Research Scientist"/>
    <n v="3"/>
    <s v="Single"/>
    <x v="4"/>
    <n v="4249"/>
    <n v="2690"/>
    <n v="1"/>
    <s v="Yes"/>
    <s v="Yes"/>
    <n v="11"/>
    <x v="0"/>
    <n v="2"/>
    <n v="80"/>
    <n v="0"/>
    <n v="9"/>
    <n v="3"/>
    <n v="3"/>
    <n v="9"/>
    <n v="6"/>
    <x v="1"/>
    <n v="1"/>
  </r>
  <r>
    <n v="51"/>
    <x v="1"/>
    <s v="Travel_Rarely"/>
    <n v="770"/>
    <x v="2"/>
    <n v="5"/>
    <n v="3"/>
    <s v="Life Sciences"/>
    <n v="1"/>
    <n v="1352"/>
    <n v="3"/>
    <x v="1"/>
    <n v="84"/>
    <n v="3"/>
    <n v="4"/>
    <s v="Manager"/>
    <n v="2"/>
    <s v="Divorced"/>
    <x v="15"/>
    <n v="14026"/>
    <n v="17588"/>
    <n v="1"/>
    <s v="Yes"/>
    <s v="Yes"/>
    <n v="11"/>
    <x v="0"/>
    <n v="2"/>
    <n v="80"/>
    <n v="1"/>
    <n v="33"/>
    <n v="2"/>
    <n v="3"/>
    <n v="33"/>
    <n v="9"/>
    <x v="0"/>
    <n v="10"/>
  </r>
  <r>
    <n v="38"/>
    <x v="1"/>
    <s v="Travel_Rarely"/>
    <n v="1009"/>
    <x v="0"/>
    <n v="2"/>
    <n v="2"/>
    <s v="Life Sciences"/>
    <n v="1"/>
    <n v="1355"/>
    <n v="2"/>
    <x v="0"/>
    <n v="31"/>
    <n v="3"/>
    <n v="2"/>
    <s v="Sales Executive"/>
    <n v="1"/>
    <s v="Divorced"/>
    <x v="9"/>
    <n v="6893"/>
    <n v="19461"/>
    <n v="3"/>
    <s v="Yes"/>
    <s v="No"/>
    <n v="15"/>
    <x v="0"/>
    <n v="4"/>
    <n v="80"/>
    <n v="1"/>
    <n v="11"/>
    <n v="3"/>
    <n v="3"/>
    <n v="7"/>
    <n v="7"/>
    <x v="1"/>
    <n v="7"/>
  </r>
  <r>
    <n v="34"/>
    <x v="1"/>
    <s v="Travel_Rarely"/>
    <n v="507"/>
    <x v="0"/>
    <n v="15"/>
    <n v="2"/>
    <s v="Medical"/>
    <n v="1"/>
    <n v="1356"/>
    <n v="3"/>
    <x v="0"/>
    <n v="66"/>
    <n v="3"/>
    <n v="2"/>
    <s v="Sales Executive"/>
    <n v="1"/>
    <s v="Single"/>
    <x v="9"/>
    <n v="6125"/>
    <n v="23553"/>
    <n v="1"/>
    <s v="Yes"/>
    <s v="No"/>
    <n v="12"/>
    <x v="0"/>
    <n v="4"/>
    <n v="80"/>
    <n v="0"/>
    <n v="10"/>
    <n v="6"/>
    <n v="4"/>
    <n v="10"/>
    <n v="8"/>
    <x v="10"/>
    <n v="6"/>
  </r>
  <r>
    <n v="25"/>
    <x v="1"/>
    <s v="Travel_Rarely"/>
    <n v="882"/>
    <x v="1"/>
    <n v="19"/>
    <n v="1"/>
    <s v="Medical"/>
    <n v="1"/>
    <n v="1358"/>
    <n v="4"/>
    <x v="1"/>
    <n v="67"/>
    <n v="3"/>
    <n v="1"/>
    <s v="Laboratory Technician"/>
    <n v="4"/>
    <s v="Married"/>
    <x v="2"/>
    <n v="3669"/>
    <n v="9075"/>
    <n v="3"/>
    <s v="Yes"/>
    <s v="No"/>
    <n v="11"/>
    <x v="0"/>
    <n v="3"/>
    <n v="80"/>
    <n v="3"/>
    <n v="7"/>
    <n v="6"/>
    <n v="2"/>
    <n v="3"/>
    <n v="2"/>
    <x v="1"/>
    <n v="2"/>
  </r>
  <r>
    <n v="58"/>
    <x v="0"/>
    <s v="Travel_Rarely"/>
    <n v="601"/>
    <x v="1"/>
    <n v="7"/>
    <n v="4"/>
    <s v="Medical"/>
    <n v="1"/>
    <n v="1360"/>
    <n v="3"/>
    <x v="0"/>
    <n v="53"/>
    <n v="2"/>
    <n v="3"/>
    <s v="Manufacturing Director"/>
    <n v="1"/>
    <s v="Married"/>
    <x v="10"/>
    <n v="10008"/>
    <n v="12023"/>
    <n v="7"/>
    <s v="Yes"/>
    <s v="Yes"/>
    <n v="14"/>
    <x v="0"/>
    <n v="4"/>
    <n v="80"/>
    <n v="0"/>
    <n v="31"/>
    <n v="0"/>
    <n v="2"/>
    <n v="10"/>
    <n v="9"/>
    <x v="8"/>
    <n v="9"/>
  </r>
  <r>
    <n v="40"/>
    <x v="1"/>
    <s v="Travel_Rarely"/>
    <n v="329"/>
    <x v="1"/>
    <n v="1"/>
    <n v="4"/>
    <s v="Life Sciences"/>
    <n v="1"/>
    <n v="1361"/>
    <n v="2"/>
    <x v="1"/>
    <n v="88"/>
    <n v="3"/>
    <n v="1"/>
    <s v="Laboratory Technician"/>
    <n v="2"/>
    <s v="Married"/>
    <x v="1"/>
    <n v="2387"/>
    <n v="6762"/>
    <n v="3"/>
    <s v="Yes"/>
    <s v="No"/>
    <n v="22"/>
    <x v="1"/>
    <n v="3"/>
    <n v="80"/>
    <n v="1"/>
    <n v="7"/>
    <n v="3"/>
    <n v="3"/>
    <n v="4"/>
    <n v="2"/>
    <x v="0"/>
    <n v="3"/>
  </r>
  <r>
    <n v="36"/>
    <x v="1"/>
    <s v="Travel_Frequently"/>
    <n v="607"/>
    <x v="0"/>
    <n v="7"/>
    <n v="3"/>
    <s v="Marketing"/>
    <n v="1"/>
    <n v="1362"/>
    <n v="1"/>
    <x v="0"/>
    <n v="83"/>
    <n v="4"/>
    <n v="2"/>
    <s v="Sales Executive"/>
    <n v="1"/>
    <s v="Married"/>
    <x v="4"/>
    <n v="4639"/>
    <n v="2261"/>
    <n v="2"/>
    <s v="Yes"/>
    <s v="No"/>
    <n v="16"/>
    <x v="0"/>
    <n v="4"/>
    <n v="80"/>
    <n v="1"/>
    <n v="17"/>
    <n v="2"/>
    <n v="2"/>
    <n v="15"/>
    <n v="7"/>
    <x v="7"/>
    <n v="13"/>
  </r>
  <r>
    <n v="48"/>
    <x v="1"/>
    <s v="Travel_Rarely"/>
    <n v="855"/>
    <x v="1"/>
    <n v="4"/>
    <n v="3"/>
    <s v="Life Sciences"/>
    <n v="1"/>
    <n v="1363"/>
    <n v="4"/>
    <x v="1"/>
    <n v="54"/>
    <n v="3"/>
    <n v="3"/>
    <s v="Manufacturing Director"/>
    <n v="4"/>
    <s v="Single"/>
    <x v="14"/>
    <n v="7898"/>
    <n v="18706"/>
    <n v="1"/>
    <s v="Yes"/>
    <s v="No"/>
    <n v="11"/>
    <x v="0"/>
    <n v="3"/>
    <n v="80"/>
    <n v="0"/>
    <n v="11"/>
    <n v="2"/>
    <n v="3"/>
    <n v="10"/>
    <n v="9"/>
    <x v="0"/>
    <n v="8"/>
  </r>
  <r>
    <n v="27"/>
    <x v="1"/>
    <s v="Travel_Rarely"/>
    <n v="1291"/>
    <x v="0"/>
    <n v="11"/>
    <n v="3"/>
    <s v="Medical"/>
    <n v="1"/>
    <n v="1364"/>
    <n v="3"/>
    <x v="0"/>
    <n v="98"/>
    <n v="4"/>
    <n v="1"/>
    <s v="Sales Representative"/>
    <n v="4"/>
    <s v="Married"/>
    <x v="1"/>
    <n v="2534"/>
    <n v="6527"/>
    <n v="8"/>
    <s v="Yes"/>
    <s v="No"/>
    <n v="14"/>
    <x v="0"/>
    <n v="2"/>
    <n v="80"/>
    <n v="1"/>
    <n v="5"/>
    <n v="4"/>
    <n v="3"/>
    <n v="1"/>
    <n v="0"/>
    <x v="0"/>
    <n v="0"/>
  </r>
  <r>
    <n v="51"/>
    <x v="1"/>
    <s v="Travel_Rarely"/>
    <n v="1405"/>
    <x v="1"/>
    <n v="11"/>
    <n v="2"/>
    <s v="Technical Degree"/>
    <n v="1"/>
    <n v="1367"/>
    <n v="4"/>
    <x v="0"/>
    <n v="82"/>
    <n v="2"/>
    <n v="4"/>
    <s v="Manufacturing Director"/>
    <n v="2"/>
    <s v="Single"/>
    <x v="13"/>
    <n v="13142"/>
    <n v="24439"/>
    <n v="3"/>
    <s v="Yes"/>
    <s v="No"/>
    <n v="16"/>
    <x v="0"/>
    <n v="2"/>
    <n v="80"/>
    <n v="0"/>
    <n v="29"/>
    <n v="1"/>
    <n v="2"/>
    <n v="5"/>
    <n v="2"/>
    <x v="0"/>
    <n v="3"/>
  </r>
  <r>
    <n v="18"/>
    <x v="1"/>
    <s v="Non-Travel"/>
    <n v="1124"/>
    <x v="1"/>
    <n v="1"/>
    <n v="3"/>
    <s v="Life Sciences"/>
    <n v="1"/>
    <n v="1368"/>
    <n v="4"/>
    <x v="0"/>
    <n v="97"/>
    <n v="3"/>
    <n v="1"/>
    <s v="Laboratory Technician"/>
    <n v="4"/>
    <s v="Single"/>
    <x v="7"/>
    <n v="1611"/>
    <n v="19305"/>
    <n v="1"/>
    <s v="Yes"/>
    <s v="No"/>
    <n v="15"/>
    <x v="0"/>
    <n v="3"/>
    <n v="80"/>
    <n v="0"/>
    <n v="0"/>
    <n v="5"/>
    <n v="4"/>
    <n v="0"/>
    <n v="0"/>
    <x v="0"/>
    <n v="0"/>
  </r>
  <r>
    <n v="35"/>
    <x v="1"/>
    <s v="Travel_Rarely"/>
    <n v="817"/>
    <x v="1"/>
    <n v="1"/>
    <n v="3"/>
    <s v="Medical"/>
    <n v="1"/>
    <n v="1369"/>
    <n v="4"/>
    <x v="0"/>
    <n v="60"/>
    <n v="2"/>
    <n v="2"/>
    <s v="Laboratory Technician"/>
    <n v="4"/>
    <s v="Married"/>
    <x v="0"/>
    <n v="5363"/>
    <n v="10846"/>
    <n v="0"/>
    <s v="Yes"/>
    <s v="No"/>
    <n v="12"/>
    <x v="0"/>
    <n v="2"/>
    <n v="80"/>
    <n v="1"/>
    <n v="10"/>
    <n v="0"/>
    <n v="3"/>
    <n v="9"/>
    <n v="7"/>
    <x v="0"/>
    <n v="0"/>
  </r>
  <r>
    <n v="27"/>
    <x v="1"/>
    <s v="Travel_Frequently"/>
    <n v="793"/>
    <x v="0"/>
    <n v="2"/>
    <n v="1"/>
    <s v="Life Sciences"/>
    <n v="1"/>
    <n v="1371"/>
    <n v="4"/>
    <x v="1"/>
    <n v="43"/>
    <n v="1"/>
    <n v="2"/>
    <s v="Sales Executive"/>
    <n v="4"/>
    <s v="Single"/>
    <x v="0"/>
    <n v="5071"/>
    <n v="20392"/>
    <n v="3"/>
    <s v="Yes"/>
    <s v="No"/>
    <n v="20"/>
    <x v="1"/>
    <n v="2"/>
    <n v="80"/>
    <n v="0"/>
    <n v="8"/>
    <n v="3"/>
    <n v="3"/>
    <n v="6"/>
    <n v="2"/>
    <x v="0"/>
    <n v="0"/>
  </r>
  <r>
    <n v="55"/>
    <x v="0"/>
    <s v="Travel_Rarely"/>
    <n v="267"/>
    <x v="0"/>
    <n v="13"/>
    <n v="4"/>
    <s v="Marketing"/>
    <n v="1"/>
    <n v="1372"/>
    <n v="1"/>
    <x v="1"/>
    <n v="85"/>
    <n v="4"/>
    <n v="4"/>
    <s v="Sales Executive"/>
    <n v="3"/>
    <s v="Single"/>
    <x v="13"/>
    <n v="13695"/>
    <n v="9277"/>
    <n v="6"/>
    <s v="Yes"/>
    <s v="Yes"/>
    <n v="17"/>
    <x v="0"/>
    <n v="3"/>
    <n v="80"/>
    <n v="0"/>
    <n v="24"/>
    <n v="2"/>
    <n v="2"/>
    <n v="19"/>
    <n v="7"/>
    <x v="2"/>
    <n v="8"/>
  </r>
  <r>
    <n v="56"/>
    <x v="1"/>
    <s v="Travel_Rarely"/>
    <n v="1369"/>
    <x v="1"/>
    <n v="23"/>
    <n v="3"/>
    <s v="Life Sciences"/>
    <n v="1"/>
    <n v="1373"/>
    <n v="4"/>
    <x v="1"/>
    <n v="68"/>
    <n v="3"/>
    <n v="4"/>
    <s v="Manufacturing Director"/>
    <n v="2"/>
    <s v="Married"/>
    <x v="13"/>
    <n v="13402"/>
    <n v="18235"/>
    <n v="4"/>
    <s v="Yes"/>
    <s v="Yes"/>
    <n v="12"/>
    <x v="0"/>
    <n v="1"/>
    <n v="80"/>
    <n v="1"/>
    <n v="33"/>
    <n v="0"/>
    <n v="3"/>
    <n v="19"/>
    <n v="16"/>
    <x v="9"/>
    <n v="9"/>
  </r>
  <r>
    <n v="34"/>
    <x v="1"/>
    <s v="Non-Travel"/>
    <n v="999"/>
    <x v="1"/>
    <n v="26"/>
    <n v="1"/>
    <s v="Technical Degree"/>
    <n v="1"/>
    <n v="1374"/>
    <n v="1"/>
    <x v="0"/>
    <n v="92"/>
    <n v="2"/>
    <n v="1"/>
    <s v="Research Scientist"/>
    <n v="3"/>
    <s v="Divorced"/>
    <x v="1"/>
    <n v="2029"/>
    <n v="15891"/>
    <n v="1"/>
    <s v="Yes"/>
    <s v="No"/>
    <n v="20"/>
    <x v="1"/>
    <n v="3"/>
    <n v="80"/>
    <n v="3"/>
    <n v="5"/>
    <n v="2"/>
    <n v="3"/>
    <n v="5"/>
    <n v="4"/>
    <x v="0"/>
    <n v="0"/>
  </r>
  <r>
    <n v="40"/>
    <x v="1"/>
    <s v="Travel_Rarely"/>
    <n v="1202"/>
    <x v="1"/>
    <n v="2"/>
    <n v="1"/>
    <s v="Medical"/>
    <n v="1"/>
    <n v="1375"/>
    <n v="2"/>
    <x v="0"/>
    <n v="89"/>
    <n v="4"/>
    <n v="2"/>
    <s v="Healthcare Representative"/>
    <n v="3"/>
    <s v="Divorced"/>
    <x v="9"/>
    <n v="6377"/>
    <n v="13888"/>
    <n v="5"/>
    <s v="Yes"/>
    <s v="No"/>
    <n v="20"/>
    <x v="1"/>
    <n v="2"/>
    <n v="80"/>
    <n v="3"/>
    <n v="15"/>
    <n v="0"/>
    <n v="3"/>
    <n v="12"/>
    <n v="11"/>
    <x v="14"/>
    <n v="8"/>
  </r>
  <r>
    <n v="34"/>
    <x v="1"/>
    <s v="Travel_Rarely"/>
    <n v="285"/>
    <x v="1"/>
    <n v="29"/>
    <n v="3"/>
    <s v="Medical"/>
    <n v="1"/>
    <n v="1377"/>
    <n v="2"/>
    <x v="1"/>
    <n v="86"/>
    <n v="3"/>
    <n v="2"/>
    <s v="Laboratory Technician"/>
    <n v="3"/>
    <s v="Married"/>
    <x v="0"/>
    <n v="5429"/>
    <n v="17491"/>
    <n v="4"/>
    <s v="Yes"/>
    <s v="No"/>
    <n v="13"/>
    <x v="0"/>
    <n v="1"/>
    <n v="80"/>
    <n v="2"/>
    <n v="10"/>
    <n v="1"/>
    <n v="3"/>
    <n v="8"/>
    <n v="7"/>
    <x v="4"/>
    <n v="7"/>
  </r>
  <r>
    <n v="31"/>
    <x v="0"/>
    <s v="Travel_Frequently"/>
    <n v="703"/>
    <x v="0"/>
    <n v="2"/>
    <n v="3"/>
    <s v="Life Sciences"/>
    <n v="1"/>
    <n v="1379"/>
    <n v="3"/>
    <x v="0"/>
    <n v="90"/>
    <n v="2"/>
    <n v="1"/>
    <s v="Sales Representative"/>
    <n v="4"/>
    <s v="Single"/>
    <x v="1"/>
    <n v="2785"/>
    <n v="11882"/>
    <n v="7"/>
    <s v="Yes"/>
    <s v="No"/>
    <n v="14"/>
    <x v="0"/>
    <n v="3"/>
    <n v="80"/>
    <n v="0"/>
    <n v="3"/>
    <n v="3"/>
    <n v="4"/>
    <n v="1"/>
    <n v="0"/>
    <x v="0"/>
    <n v="0"/>
  </r>
  <r>
    <n v="35"/>
    <x v="0"/>
    <s v="Travel_Frequently"/>
    <n v="662"/>
    <x v="0"/>
    <n v="18"/>
    <n v="4"/>
    <s v="Marketing"/>
    <n v="1"/>
    <n v="1380"/>
    <n v="4"/>
    <x v="0"/>
    <n v="67"/>
    <n v="3"/>
    <n v="2"/>
    <s v="Sales Executive"/>
    <n v="3"/>
    <s v="Married"/>
    <x v="4"/>
    <n v="4614"/>
    <n v="23288"/>
    <n v="0"/>
    <s v="Yes"/>
    <s v="Yes"/>
    <n v="18"/>
    <x v="0"/>
    <n v="3"/>
    <n v="80"/>
    <n v="1"/>
    <n v="5"/>
    <n v="0"/>
    <n v="2"/>
    <n v="4"/>
    <n v="2"/>
    <x v="2"/>
    <n v="2"/>
  </r>
  <r>
    <n v="38"/>
    <x v="1"/>
    <s v="Travel_Frequently"/>
    <n v="693"/>
    <x v="1"/>
    <n v="7"/>
    <n v="3"/>
    <s v="Life Sciences"/>
    <n v="1"/>
    <n v="1382"/>
    <n v="4"/>
    <x v="1"/>
    <n v="57"/>
    <n v="4"/>
    <n v="1"/>
    <s v="Research Scientist"/>
    <n v="3"/>
    <s v="Divorced"/>
    <x v="1"/>
    <n v="2610"/>
    <n v="15748"/>
    <n v="1"/>
    <s v="Yes"/>
    <s v="No"/>
    <n v="11"/>
    <x v="0"/>
    <n v="4"/>
    <n v="80"/>
    <n v="3"/>
    <n v="4"/>
    <n v="2"/>
    <n v="3"/>
    <n v="4"/>
    <n v="2"/>
    <x v="0"/>
    <n v="3"/>
  </r>
  <r>
    <n v="34"/>
    <x v="1"/>
    <s v="Travel_Rarely"/>
    <n v="404"/>
    <x v="1"/>
    <n v="2"/>
    <n v="4"/>
    <s v="Technical Degree"/>
    <n v="1"/>
    <n v="1383"/>
    <n v="3"/>
    <x v="0"/>
    <n v="98"/>
    <n v="3"/>
    <n v="2"/>
    <s v="Healthcare Representative"/>
    <n v="4"/>
    <s v="Single"/>
    <x v="9"/>
    <n v="6687"/>
    <n v="6163"/>
    <n v="1"/>
    <s v="Yes"/>
    <s v="No"/>
    <n v="11"/>
    <x v="0"/>
    <n v="4"/>
    <n v="80"/>
    <n v="0"/>
    <n v="14"/>
    <n v="2"/>
    <n v="4"/>
    <n v="14"/>
    <n v="11"/>
    <x v="5"/>
    <n v="11"/>
  </r>
  <r>
    <n v="28"/>
    <x v="1"/>
    <s v="Travel_Rarely"/>
    <n v="736"/>
    <x v="0"/>
    <n v="26"/>
    <n v="3"/>
    <s v="Life Sciences"/>
    <n v="1"/>
    <n v="1387"/>
    <n v="3"/>
    <x v="1"/>
    <n v="48"/>
    <n v="2"/>
    <n v="2"/>
    <s v="Sales Executive"/>
    <n v="1"/>
    <s v="Married"/>
    <x v="4"/>
    <n v="4724"/>
    <n v="24232"/>
    <n v="1"/>
    <s v="Yes"/>
    <s v="No"/>
    <n v="11"/>
    <x v="0"/>
    <n v="3"/>
    <n v="80"/>
    <n v="1"/>
    <n v="5"/>
    <n v="0"/>
    <n v="3"/>
    <n v="5"/>
    <n v="3"/>
    <x v="0"/>
    <n v="4"/>
  </r>
  <r>
    <n v="31"/>
    <x v="0"/>
    <s v="Travel_Rarely"/>
    <n v="330"/>
    <x v="1"/>
    <n v="22"/>
    <n v="4"/>
    <s v="Medical"/>
    <n v="1"/>
    <n v="1389"/>
    <n v="4"/>
    <x v="1"/>
    <n v="98"/>
    <n v="3"/>
    <n v="2"/>
    <s v="Manufacturing Director"/>
    <n v="3"/>
    <s v="Married"/>
    <x v="9"/>
    <n v="6179"/>
    <n v="21057"/>
    <n v="1"/>
    <s v="Yes"/>
    <s v="Yes"/>
    <n v="15"/>
    <x v="0"/>
    <n v="4"/>
    <n v="80"/>
    <n v="2"/>
    <n v="10"/>
    <n v="3"/>
    <n v="2"/>
    <n v="10"/>
    <n v="2"/>
    <x v="7"/>
    <n v="7"/>
  </r>
  <r>
    <n v="39"/>
    <x v="1"/>
    <s v="Travel_Rarely"/>
    <n v="1498"/>
    <x v="0"/>
    <n v="21"/>
    <n v="4"/>
    <s v="Life Sciences"/>
    <n v="1"/>
    <n v="1390"/>
    <n v="1"/>
    <x v="1"/>
    <n v="44"/>
    <n v="2"/>
    <n v="2"/>
    <s v="Sales Executive"/>
    <n v="4"/>
    <s v="Married"/>
    <x v="9"/>
    <n v="6120"/>
    <n v="3567"/>
    <n v="3"/>
    <s v="Yes"/>
    <s v="Yes"/>
    <n v="12"/>
    <x v="0"/>
    <n v="4"/>
    <n v="80"/>
    <n v="2"/>
    <n v="8"/>
    <n v="2"/>
    <n v="4"/>
    <n v="5"/>
    <n v="4"/>
    <x v="1"/>
    <n v="4"/>
  </r>
  <r>
    <n v="51"/>
    <x v="1"/>
    <s v="Travel_Frequently"/>
    <n v="541"/>
    <x v="0"/>
    <n v="2"/>
    <n v="3"/>
    <s v="Marketing"/>
    <n v="1"/>
    <n v="1391"/>
    <n v="2"/>
    <x v="1"/>
    <n v="52"/>
    <n v="3"/>
    <n v="3"/>
    <s v="Sales Executive"/>
    <n v="2"/>
    <s v="Married"/>
    <x v="10"/>
    <n v="10596"/>
    <n v="15395"/>
    <n v="2"/>
    <s v="Yes"/>
    <s v="No"/>
    <n v="11"/>
    <x v="0"/>
    <n v="2"/>
    <n v="80"/>
    <n v="0"/>
    <n v="14"/>
    <n v="5"/>
    <n v="3"/>
    <n v="4"/>
    <n v="2"/>
    <x v="2"/>
    <n v="2"/>
  </r>
  <r>
    <n v="41"/>
    <x v="1"/>
    <s v="Travel_Frequently"/>
    <n v="1200"/>
    <x v="1"/>
    <n v="22"/>
    <n v="3"/>
    <s v="Life Sciences"/>
    <n v="1"/>
    <n v="1392"/>
    <n v="4"/>
    <x v="0"/>
    <n v="75"/>
    <n v="3"/>
    <n v="2"/>
    <s v="Research Scientist"/>
    <n v="4"/>
    <s v="Divorced"/>
    <x v="0"/>
    <n v="5467"/>
    <n v="13953"/>
    <n v="3"/>
    <s v="Yes"/>
    <s v="Yes"/>
    <n v="14"/>
    <x v="0"/>
    <n v="1"/>
    <n v="80"/>
    <n v="2"/>
    <n v="12"/>
    <n v="4"/>
    <n v="2"/>
    <n v="6"/>
    <n v="2"/>
    <x v="2"/>
    <n v="3"/>
  </r>
  <r>
    <n v="37"/>
    <x v="1"/>
    <s v="Travel_Rarely"/>
    <n v="1439"/>
    <x v="1"/>
    <n v="4"/>
    <n v="1"/>
    <s v="Life Sciences"/>
    <n v="1"/>
    <n v="1394"/>
    <n v="3"/>
    <x v="1"/>
    <n v="54"/>
    <n v="3"/>
    <n v="1"/>
    <s v="Research Scientist"/>
    <n v="3"/>
    <s v="Married"/>
    <x v="1"/>
    <n v="2996"/>
    <n v="5182"/>
    <n v="7"/>
    <s v="Yes"/>
    <s v="Yes"/>
    <n v="15"/>
    <x v="0"/>
    <n v="4"/>
    <n v="80"/>
    <n v="0"/>
    <n v="8"/>
    <n v="2"/>
    <n v="3"/>
    <n v="6"/>
    <n v="4"/>
    <x v="1"/>
    <n v="3"/>
  </r>
  <r>
    <n v="33"/>
    <x v="1"/>
    <s v="Travel_Frequently"/>
    <n v="1111"/>
    <x v="0"/>
    <n v="5"/>
    <n v="1"/>
    <s v="Life Sciences"/>
    <n v="1"/>
    <n v="1395"/>
    <n v="2"/>
    <x v="1"/>
    <n v="61"/>
    <n v="3"/>
    <n v="2"/>
    <s v="Sales Executive"/>
    <n v="4"/>
    <s v="Married"/>
    <x v="3"/>
    <n v="9998"/>
    <n v="19293"/>
    <n v="6"/>
    <s v="Yes"/>
    <s v="No"/>
    <n v="13"/>
    <x v="0"/>
    <n v="1"/>
    <n v="80"/>
    <n v="0"/>
    <n v="8"/>
    <n v="2"/>
    <n v="4"/>
    <n v="5"/>
    <n v="4"/>
    <x v="1"/>
    <n v="2"/>
  </r>
  <r>
    <n v="32"/>
    <x v="1"/>
    <s v="Travel_Rarely"/>
    <n v="499"/>
    <x v="0"/>
    <n v="2"/>
    <n v="1"/>
    <s v="Marketing"/>
    <n v="1"/>
    <n v="1396"/>
    <n v="3"/>
    <x v="1"/>
    <n v="36"/>
    <n v="3"/>
    <n v="2"/>
    <s v="Sales Executive"/>
    <n v="2"/>
    <s v="Married"/>
    <x v="4"/>
    <n v="4078"/>
    <n v="20497"/>
    <n v="0"/>
    <s v="Yes"/>
    <s v="Yes"/>
    <n v="13"/>
    <x v="0"/>
    <n v="1"/>
    <n v="80"/>
    <n v="3"/>
    <n v="4"/>
    <n v="3"/>
    <n v="2"/>
    <n v="3"/>
    <n v="2"/>
    <x v="1"/>
    <n v="2"/>
  </r>
  <r>
    <n v="39"/>
    <x v="1"/>
    <s v="Non-Travel"/>
    <n v="1485"/>
    <x v="1"/>
    <n v="25"/>
    <n v="2"/>
    <s v="Life Sciences"/>
    <n v="1"/>
    <n v="1397"/>
    <n v="3"/>
    <x v="1"/>
    <n v="71"/>
    <n v="3"/>
    <n v="3"/>
    <s v="Healthcare Representative"/>
    <n v="3"/>
    <s v="Married"/>
    <x v="10"/>
    <n v="10920"/>
    <n v="3449"/>
    <n v="3"/>
    <s v="Yes"/>
    <s v="No"/>
    <n v="21"/>
    <x v="1"/>
    <n v="2"/>
    <n v="80"/>
    <n v="1"/>
    <n v="13"/>
    <n v="2"/>
    <n v="3"/>
    <n v="6"/>
    <n v="4"/>
    <x v="0"/>
    <n v="5"/>
  </r>
  <r>
    <n v="25"/>
    <x v="1"/>
    <s v="Travel_Rarely"/>
    <n v="1372"/>
    <x v="0"/>
    <n v="18"/>
    <n v="1"/>
    <s v="Life Sciences"/>
    <n v="1"/>
    <n v="1399"/>
    <n v="1"/>
    <x v="1"/>
    <n v="93"/>
    <n v="4"/>
    <n v="2"/>
    <s v="Sales Executive"/>
    <n v="3"/>
    <s v="Married"/>
    <x v="9"/>
    <n v="6232"/>
    <n v="12477"/>
    <n v="2"/>
    <s v="Yes"/>
    <s v="No"/>
    <n v="11"/>
    <x v="0"/>
    <n v="2"/>
    <n v="80"/>
    <n v="0"/>
    <n v="6"/>
    <n v="3"/>
    <n v="2"/>
    <n v="3"/>
    <n v="2"/>
    <x v="1"/>
    <n v="2"/>
  </r>
  <r>
    <n v="52"/>
    <x v="1"/>
    <s v="Travel_Frequently"/>
    <n v="322"/>
    <x v="1"/>
    <n v="28"/>
    <n v="2"/>
    <s v="Medical"/>
    <n v="1"/>
    <n v="1401"/>
    <n v="4"/>
    <x v="0"/>
    <n v="59"/>
    <n v="4"/>
    <n v="4"/>
    <s v="Manufacturing Director"/>
    <n v="3"/>
    <s v="Married"/>
    <x v="13"/>
    <n v="13247"/>
    <n v="9731"/>
    <n v="2"/>
    <s v="Yes"/>
    <s v="Yes"/>
    <n v="11"/>
    <x v="0"/>
    <n v="2"/>
    <n v="80"/>
    <n v="1"/>
    <n v="24"/>
    <n v="3"/>
    <n v="2"/>
    <n v="5"/>
    <n v="3"/>
    <x v="0"/>
    <n v="2"/>
  </r>
  <r>
    <n v="43"/>
    <x v="1"/>
    <s v="Travel_Rarely"/>
    <n v="930"/>
    <x v="1"/>
    <n v="6"/>
    <n v="3"/>
    <s v="Medical"/>
    <n v="1"/>
    <n v="1402"/>
    <n v="1"/>
    <x v="0"/>
    <n v="73"/>
    <n v="2"/>
    <n v="2"/>
    <s v="Research Scientist"/>
    <n v="3"/>
    <s v="Single"/>
    <x v="4"/>
    <n v="4081"/>
    <n v="20003"/>
    <n v="1"/>
    <s v="Yes"/>
    <s v="Yes"/>
    <n v="14"/>
    <x v="0"/>
    <n v="1"/>
    <n v="80"/>
    <n v="0"/>
    <n v="20"/>
    <n v="3"/>
    <n v="1"/>
    <n v="20"/>
    <n v="7"/>
    <x v="1"/>
    <n v="8"/>
  </r>
  <r>
    <n v="27"/>
    <x v="1"/>
    <s v="Travel_Rarely"/>
    <n v="205"/>
    <x v="0"/>
    <n v="10"/>
    <n v="3"/>
    <s v="Marketing"/>
    <n v="1"/>
    <n v="1403"/>
    <n v="4"/>
    <x v="0"/>
    <n v="98"/>
    <n v="2"/>
    <n v="2"/>
    <s v="Sales Executive"/>
    <n v="4"/>
    <s v="Married"/>
    <x v="0"/>
    <n v="5769"/>
    <n v="7100"/>
    <n v="1"/>
    <s v="Yes"/>
    <s v="Yes"/>
    <n v="11"/>
    <x v="0"/>
    <n v="4"/>
    <n v="80"/>
    <n v="0"/>
    <n v="6"/>
    <n v="3"/>
    <n v="3"/>
    <n v="6"/>
    <n v="2"/>
    <x v="5"/>
    <n v="4"/>
  </r>
  <r>
    <n v="27"/>
    <x v="0"/>
    <s v="Travel_Rarely"/>
    <n v="135"/>
    <x v="1"/>
    <n v="17"/>
    <n v="4"/>
    <s v="Life Sciences"/>
    <n v="1"/>
    <n v="1405"/>
    <n v="4"/>
    <x v="0"/>
    <n v="51"/>
    <n v="3"/>
    <n v="1"/>
    <s v="Research Scientist"/>
    <n v="3"/>
    <s v="Single"/>
    <x v="1"/>
    <n v="2394"/>
    <n v="25681"/>
    <n v="1"/>
    <s v="Yes"/>
    <s v="Yes"/>
    <n v="13"/>
    <x v="0"/>
    <n v="4"/>
    <n v="80"/>
    <n v="0"/>
    <n v="8"/>
    <n v="2"/>
    <n v="3"/>
    <n v="8"/>
    <n v="2"/>
    <x v="4"/>
    <n v="7"/>
  </r>
  <r>
    <n v="26"/>
    <x v="1"/>
    <s v="Travel_Rarely"/>
    <n v="683"/>
    <x v="1"/>
    <n v="2"/>
    <n v="1"/>
    <s v="Medical"/>
    <n v="1"/>
    <n v="1407"/>
    <n v="1"/>
    <x v="1"/>
    <n v="36"/>
    <n v="2"/>
    <n v="1"/>
    <s v="Research Scientist"/>
    <n v="4"/>
    <s v="Single"/>
    <x v="2"/>
    <n v="3904"/>
    <n v="4050"/>
    <n v="0"/>
    <s v="Yes"/>
    <s v="No"/>
    <n v="12"/>
    <x v="0"/>
    <n v="4"/>
    <n v="80"/>
    <n v="0"/>
    <n v="5"/>
    <n v="2"/>
    <n v="3"/>
    <n v="4"/>
    <n v="3"/>
    <x v="1"/>
    <n v="1"/>
  </r>
  <r>
    <n v="42"/>
    <x v="1"/>
    <s v="Travel_Rarely"/>
    <n v="1147"/>
    <x v="2"/>
    <n v="10"/>
    <n v="3"/>
    <s v="Human Resources"/>
    <n v="1"/>
    <n v="1408"/>
    <n v="3"/>
    <x v="0"/>
    <n v="31"/>
    <n v="3"/>
    <n v="4"/>
    <s v="Manager"/>
    <n v="1"/>
    <s v="Married"/>
    <x v="17"/>
    <n v="16799"/>
    <n v="16616"/>
    <n v="0"/>
    <s v="Yes"/>
    <s v="No"/>
    <n v="14"/>
    <x v="0"/>
    <n v="3"/>
    <n v="80"/>
    <n v="1"/>
    <n v="21"/>
    <n v="5"/>
    <n v="3"/>
    <n v="20"/>
    <n v="7"/>
    <x v="0"/>
    <n v="9"/>
  </r>
  <r>
    <n v="52"/>
    <x v="1"/>
    <s v="Travel_Rarely"/>
    <n v="258"/>
    <x v="1"/>
    <n v="8"/>
    <n v="4"/>
    <s v="Other"/>
    <n v="1"/>
    <n v="1409"/>
    <n v="3"/>
    <x v="0"/>
    <n v="54"/>
    <n v="3"/>
    <n v="1"/>
    <s v="Laboratory Technician"/>
    <n v="1"/>
    <s v="Married"/>
    <x v="1"/>
    <n v="2950"/>
    <n v="17363"/>
    <n v="9"/>
    <s v="Yes"/>
    <s v="No"/>
    <n v="13"/>
    <x v="0"/>
    <n v="3"/>
    <n v="80"/>
    <n v="0"/>
    <n v="12"/>
    <n v="2"/>
    <n v="1"/>
    <n v="5"/>
    <n v="4"/>
    <x v="0"/>
    <n v="4"/>
  </r>
  <r>
    <n v="37"/>
    <x v="1"/>
    <s v="Travel_Rarely"/>
    <n v="1462"/>
    <x v="1"/>
    <n v="11"/>
    <n v="3"/>
    <s v="Medical"/>
    <n v="1"/>
    <n v="1411"/>
    <n v="1"/>
    <x v="0"/>
    <n v="94"/>
    <n v="3"/>
    <n v="1"/>
    <s v="Laboratory Technician"/>
    <n v="3"/>
    <s v="Single"/>
    <x v="2"/>
    <n v="3629"/>
    <n v="19106"/>
    <n v="4"/>
    <s v="Yes"/>
    <s v="No"/>
    <n v="18"/>
    <x v="0"/>
    <n v="1"/>
    <n v="80"/>
    <n v="0"/>
    <n v="8"/>
    <n v="6"/>
    <n v="3"/>
    <n v="3"/>
    <n v="2"/>
    <x v="0"/>
    <n v="2"/>
  </r>
  <r>
    <n v="35"/>
    <x v="1"/>
    <s v="Travel_Frequently"/>
    <n v="200"/>
    <x v="1"/>
    <n v="18"/>
    <n v="2"/>
    <s v="Life Sciences"/>
    <n v="1"/>
    <n v="1412"/>
    <n v="3"/>
    <x v="1"/>
    <n v="60"/>
    <n v="3"/>
    <n v="3"/>
    <s v="Manufacturing Director"/>
    <n v="4"/>
    <s v="Single"/>
    <x v="3"/>
    <n v="9362"/>
    <n v="19944"/>
    <n v="2"/>
    <s v="Yes"/>
    <s v="No"/>
    <n v="11"/>
    <x v="0"/>
    <n v="3"/>
    <n v="80"/>
    <n v="0"/>
    <n v="10"/>
    <n v="2"/>
    <n v="3"/>
    <n v="2"/>
    <n v="2"/>
    <x v="3"/>
    <n v="2"/>
  </r>
  <r>
    <n v="25"/>
    <x v="1"/>
    <s v="Travel_Rarely"/>
    <n v="949"/>
    <x v="1"/>
    <n v="1"/>
    <n v="3"/>
    <s v="Technical Degree"/>
    <n v="1"/>
    <n v="1415"/>
    <n v="1"/>
    <x v="1"/>
    <n v="81"/>
    <n v="3"/>
    <n v="1"/>
    <s v="Laboratory Technician"/>
    <n v="4"/>
    <s v="Married"/>
    <x v="2"/>
    <n v="3229"/>
    <n v="4910"/>
    <n v="4"/>
    <s v="Yes"/>
    <s v="No"/>
    <n v="11"/>
    <x v="0"/>
    <n v="2"/>
    <n v="80"/>
    <n v="1"/>
    <n v="7"/>
    <n v="2"/>
    <n v="2"/>
    <n v="3"/>
    <n v="2"/>
    <x v="0"/>
    <n v="2"/>
  </r>
  <r>
    <n v="26"/>
    <x v="1"/>
    <s v="Travel_Rarely"/>
    <n v="652"/>
    <x v="1"/>
    <n v="7"/>
    <n v="3"/>
    <s v="Other"/>
    <n v="1"/>
    <n v="1417"/>
    <n v="3"/>
    <x v="1"/>
    <n v="100"/>
    <n v="4"/>
    <n v="1"/>
    <s v="Laboratory Technician"/>
    <n v="1"/>
    <s v="Single"/>
    <x v="2"/>
    <n v="3578"/>
    <n v="23577"/>
    <n v="0"/>
    <s v="Yes"/>
    <s v="No"/>
    <n v="12"/>
    <x v="0"/>
    <n v="4"/>
    <n v="80"/>
    <n v="0"/>
    <n v="8"/>
    <n v="2"/>
    <n v="3"/>
    <n v="7"/>
    <n v="7"/>
    <x v="0"/>
    <n v="7"/>
  </r>
  <r>
    <n v="29"/>
    <x v="1"/>
    <s v="Travel_Rarely"/>
    <n v="332"/>
    <x v="2"/>
    <n v="17"/>
    <n v="3"/>
    <s v="Other"/>
    <n v="1"/>
    <n v="1419"/>
    <n v="2"/>
    <x v="1"/>
    <n v="51"/>
    <n v="2"/>
    <n v="3"/>
    <s v="Human Resources"/>
    <n v="1"/>
    <s v="Single"/>
    <x v="14"/>
    <n v="7988"/>
    <n v="9769"/>
    <n v="1"/>
    <s v="Yes"/>
    <s v="No"/>
    <n v="13"/>
    <x v="0"/>
    <n v="1"/>
    <n v="80"/>
    <n v="0"/>
    <n v="10"/>
    <n v="3"/>
    <n v="2"/>
    <n v="10"/>
    <n v="9"/>
    <x v="0"/>
    <n v="9"/>
  </r>
  <r>
    <n v="49"/>
    <x v="0"/>
    <s v="Travel_Frequently"/>
    <n v="1475"/>
    <x v="1"/>
    <n v="28"/>
    <n v="2"/>
    <s v="Life Sciences"/>
    <n v="1"/>
    <n v="1420"/>
    <n v="1"/>
    <x v="1"/>
    <n v="97"/>
    <n v="2"/>
    <n v="2"/>
    <s v="Laboratory Technician"/>
    <n v="1"/>
    <s v="Single"/>
    <x v="4"/>
    <n v="4284"/>
    <n v="22710"/>
    <n v="3"/>
    <s v="Yes"/>
    <s v="No"/>
    <n v="20"/>
    <x v="1"/>
    <n v="1"/>
    <n v="80"/>
    <n v="0"/>
    <n v="20"/>
    <n v="2"/>
    <n v="3"/>
    <n v="4"/>
    <n v="3"/>
    <x v="1"/>
    <n v="3"/>
  </r>
  <r>
    <n v="29"/>
    <x v="0"/>
    <s v="Travel_Frequently"/>
    <n v="337"/>
    <x v="1"/>
    <n v="14"/>
    <n v="1"/>
    <s v="Other"/>
    <n v="1"/>
    <n v="1421"/>
    <n v="3"/>
    <x v="0"/>
    <n v="84"/>
    <n v="3"/>
    <n v="3"/>
    <s v="Healthcare Representative"/>
    <n v="4"/>
    <s v="Single"/>
    <x v="14"/>
    <n v="7553"/>
    <n v="22930"/>
    <n v="0"/>
    <s v="Yes"/>
    <s v="Yes"/>
    <n v="12"/>
    <x v="0"/>
    <n v="1"/>
    <n v="80"/>
    <n v="0"/>
    <n v="9"/>
    <n v="1"/>
    <n v="3"/>
    <n v="8"/>
    <n v="7"/>
    <x v="4"/>
    <n v="7"/>
  </r>
  <r>
    <n v="54"/>
    <x v="1"/>
    <s v="Travel_Rarely"/>
    <n v="971"/>
    <x v="1"/>
    <n v="1"/>
    <n v="3"/>
    <s v="Medical"/>
    <n v="1"/>
    <n v="1422"/>
    <n v="4"/>
    <x v="0"/>
    <n v="54"/>
    <n v="3"/>
    <n v="4"/>
    <s v="Research Director"/>
    <n v="4"/>
    <s v="Single"/>
    <x v="16"/>
    <n v="17328"/>
    <n v="5652"/>
    <n v="6"/>
    <s v="Yes"/>
    <s v="No"/>
    <n v="19"/>
    <x v="0"/>
    <n v="4"/>
    <n v="80"/>
    <n v="0"/>
    <n v="29"/>
    <n v="3"/>
    <n v="2"/>
    <n v="20"/>
    <n v="7"/>
    <x v="12"/>
    <n v="7"/>
  </r>
  <r>
    <n v="58"/>
    <x v="1"/>
    <s v="Travel_Rarely"/>
    <n v="1055"/>
    <x v="1"/>
    <n v="1"/>
    <n v="3"/>
    <s v="Medical"/>
    <n v="1"/>
    <n v="1423"/>
    <n v="4"/>
    <x v="0"/>
    <n v="76"/>
    <n v="3"/>
    <n v="5"/>
    <s v="Research Director"/>
    <n v="1"/>
    <s v="Married"/>
    <x v="8"/>
    <n v="19701"/>
    <n v="22456"/>
    <n v="3"/>
    <s v="Yes"/>
    <s v="Yes"/>
    <n v="21"/>
    <x v="1"/>
    <n v="3"/>
    <n v="80"/>
    <n v="1"/>
    <n v="32"/>
    <n v="3"/>
    <n v="3"/>
    <n v="9"/>
    <n v="8"/>
    <x v="1"/>
    <n v="5"/>
  </r>
  <r>
    <n v="55"/>
    <x v="1"/>
    <s v="Travel_Rarely"/>
    <n v="1136"/>
    <x v="1"/>
    <n v="1"/>
    <n v="4"/>
    <s v="Medical"/>
    <n v="1"/>
    <n v="1424"/>
    <n v="2"/>
    <x v="1"/>
    <n v="81"/>
    <n v="4"/>
    <n v="4"/>
    <s v="Research Director"/>
    <n v="4"/>
    <s v="Divorced"/>
    <x v="15"/>
    <n v="14732"/>
    <n v="12414"/>
    <n v="2"/>
    <s v="Yes"/>
    <s v="No"/>
    <n v="13"/>
    <x v="0"/>
    <n v="4"/>
    <n v="80"/>
    <n v="2"/>
    <n v="31"/>
    <n v="4"/>
    <n v="4"/>
    <n v="7"/>
    <n v="7"/>
    <x v="0"/>
    <n v="0"/>
  </r>
  <r>
    <n v="36"/>
    <x v="1"/>
    <s v="Travel_Rarely"/>
    <n v="1174"/>
    <x v="0"/>
    <n v="3"/>
    <n v="4"/>
    <s v="Marketing"/>
    <n v="1"/>
    <n v="1425"/>
    <n v="1"/>
    <x v="0"/>
    <n v="99"/>
    <n v="3"/>
    <n v="2"/>
    <s v="Sales Executive"/>
    <n v="2"/>
    <s v="Single"/>
    <x v="3"/>
    <n v="9278"/>
    <n v="20763"/>
    <n v="3"/>
    <s v="Yes"/>
    <s v="Yes"/>
    <n v="16"/>
    <x v="0"/>
    <n v="4"/>
    <n v="80"/>
    <n v="0"/>
    <n v="15"/>
    <n v="3"/>
    <n v="3"/>
    <n v="5"/>
    <n v="4"/>
    <x v="0"/>
    <n v="1"/>
  </r>
  <r>
    <n v="31"/>
    <x v="0"/>
    <s v="Travel_Frequently"/>
    <n v="667"/>
    <x v="0"/>
    <n v="1"/>
    <n v="4"/>
    <s v="Life Sciences"/>
    <n v="1"/>
    <n v="1427"/>
    <n v="2"/>
    <x v="0"/>
    <n v="50"/>
    <n v="1"/>
    <n v="1"/>
    <s v="Sales Representative"/>
    <n v="3"/>
    <s v="Single"/>
    <x v="7"/>
    <n v="1359"/>
    <n v="16154"/>
    <n v="1"/>
    <s v="Yes"/>
    <s v="No"/>
    <n v="12"/>
    <x v="0"/>
    <n v="2"/>
    <n v="80"/>
    <n v="0"/>
    <n v="1"/>
    <n v="3"/>
    <n v="3"/>
    <n v="1"/>
    <n v="0"/>
    <x v="0"/>
    <n v="0"/>
  </r>
  <r>
    <n v="30"/>
    <x v="1"/>
    <s v="Travel_Rarely"/>
    <n v="855"/>
    <x v="0"/>
    <n v="7"/>
    <n v="4"/>
    <s v="Marketing"/>
    <n v="1"/>
    <n v="1428"/>
    <n v="4"/>
    <x v="0"/>
    <n v="73"/>
    <n v="3"/>
    <n v="2"/>
    <s v="Sales Executive"/>
    <n v="1"/>
    <s v="Divorced"/>
    <x v="4"/>
    <n v="4779"/>
    <n v="12761"/>
    <n v="7"/>
    <s v="Yes"/>
    <s v="No"/>
    <n v="14"/>
    <x v="0"/>
    <n v="2"/>
    <n v="80"/>
    <n v="2"/>
    <n v="8"/>
    <n v="3"/>
    <n v="3"/>
    <n v="3"/>
    <n v="2"/>
    <x v="0"/>
    <n v="2"/>
  </r>
  <r>
    <n v="31"/>
    <x v="1"/>
    <s v="Travel_Rarely"/>
    <n v="182"/>
    <x v="1"/>
    <n v="8"/>
    <n v="5"/>
    <s v="Life Sciences"/>
    <n v="1"/>
    <n v="1430"/>
    <n v="1"/>
    <x v="0"/>
    <n v="93"/>
    <n v="3"/>
    <n v="4"/>
    <s v="Research Director"/>
    <n v="2"/>
    <s v="Single"/>
    <x v="17"/>
    <n v="16422"/>
    <n v="8847"/>
    <n v="3"/>
    <s v="Yes"/>
    <s v="No"/>
    <n v="11"/>
    <x v="0"/>
    <n v="3"/>
    <n v="80"/>
    <n v="0"/>
    <n v="9"/>
    <n v="3"/>
    <n v="4"/>
    <n v="3"/>
    <n v="2"/>
    <x v="1"/>
    <n v="0"/>
  </r>
  <r>
    <n v="34"/>
    <x v="1"/>
    <s v="Travel_Frequently"/>
    <n v="560"/>
    <x v="1"/>
    <n v="1"/>
    <n v="4"/>
    <s v="Other"/>
    <n v="1"/>
    <n v="1431"/>
    <n v="4"/>
    <x v="1"/>
    <n v="91"/>
    <n v="3"/>
    <n v="1"/>
    <s v="Research Scientist"/>
    <n v="1"/>
    <s v="Divorced"/>
    <x v="1"/>
    <n v="2996"/>
    <n v="20284"/>
    <n v="5"/>
    <s v="Yes"/>
    <s v="No"/>
    <n v="14"/>
    <x v="0"/>
    <n v="3"/>
    <n v="80"/>
    <n v="2"/>
    <n v="10"/>
    <n v="2"/>
    <n v="3"/>
    <n v="4"/>
    <n v="3"/>
    <x v="1"/>
    <n v="3"/>
  </r>
  <r>
    <n v="31"/>
    <x v="0"/>
    <s v="Travel_Rarely"/>
    <n v="202"/>
    <x v="1"/>
    <n v="8"/>
    <n v="3"/>
    <s v="Life Sciences"/>
    <n v="1"/>
    <n v="1433"/>
    <n v="1"/>
    <x v="0"/>
    <n v="34"/>
    <n v="2"/>
    <n v="1"/>
    <s v="Research Scientist"/>
    <n v="2"/>
    <s v="Single"/>
    <x v="7"/>
    <n v="1261"/>
    <n v="22262"/>
    <n v="1"/>
    <s v="Yes"/>
    <s v="No"/>
    <n v="12"/>
    <x v="0"/>
    <n v="3"/>
    <n v="80"/>
    <n v="0"/>
    <n v="1"/>
    <n v="3"/>
    <n v="4"/>
    <n v="1"/>
    <n v="0"/>
    <x v="0"/>
    <n v="0"/>
  </r>
  <r>
    <n v="27"/>
    <x v="1"/>
    <s v="Travel_Rarely"/>
    <n v="1377"/>
    <x v="1"/>
    <n v="11"/>
    <n v="1"/>
    <s v="Life Sciences"/>
    <n v="1"/>
    <n v="1434"/>
    <n v="2"/>
    <x v="1"/>
    <n v="91"/>
    <n v="3"/>
    <n v="1"/>
    <s v="Laboratory Technician"/>
    <n v="1"/>
    <s v="Married"/>
    <x v="1"/>
    <n v="2099"/>
    <n v="7679"/>
    <n v="0"/>
    <s v="Yes"/>
    <s v="No"/>
    <n v="14"/>
    <x v="0"/>
    <n v="2"/>
    <n v="80"/>
    <n v="0"/>
    <n v="6"/>
    <n v="3"/>
    <n v="4"/>
    <n v="5"/>
    <n v="0"/>
    <x v="1"/>
    <n v="4"/>
  </r>
  <r>
    <n v="36"/>
    <x v="1"/>
    <s v="Travel_Rarely"/>
    <n v="172"/>
    <x v="1"/>
    <n v="4"/>
    <n v="4"/>
    <s v="Life Sciences"/>
    <n v="1"/>
    <n v="1435"/>
    <n v="1"/>
    <x v="1"/>
    <n v="37"/>
    <n v="2"/>
    <n v="2"/>
    <s v="Laboratory Technician"/>
    <n v="4"/>
    <s v="Single"/>
    <x v="0"/>
    <n v="5810"/>
    <n v="22604"/>
    <n v="1"/>
    <s v="Yes"/>
    <s v="No"/>
    <n v="16"/>
    <x v="0"/>
    <n v="3"/>
    <n v="80"/>
    <n v="0"/>
    <n v="10"/>
    <n v="2"/>
    <n v="2"/>
    <n v="10"/>
    <n v="4"/>
    <x v="1"/>
    <n v="8"/>
  </r>
  <r>
    <n v="36"/>
    <x v="1"/>
    <s v="Travel_Rarely"/>
    <n v="329"/>
    <x v="0"/>
    <n v="16"/>
    <n v="4"/>
    <s v="Marketing"/>
    <n v="1"/>
    <n v="1436"/>
    <n v="3"/>
    <x v="0"/>
    <n v="98"/>
    <n v="2"/>
    <n v="2"/>
    <s v="Sales Executive"/>
    <n v="1"/>
    <s v="Married"/>
    <x v="0"/>
    <n v="5647"/>
    <n v="13494"/>
    <n v="4"/>
    <s v="Yes"/>
    <s v="No"/>
    <n v="13"/>
    <x v="0"/>
    <n v="1"/>
    <n v="80"/>
    <n v="2"/>
    <n v="11"/>
    <n v="3"/>
    <n v="2"/>
    <n v="3"/>
    <n v="2"/>
    <x v="0"/>
    <n v="2"/>
  </r>
  <r>
    <n v="47"/>
    <x v="1"/>
    <s v="Travel_Rarely"/>
    <n v="465"/>
    <x v="1"/>
    <n v="1"/>
    <n v="3"/>
    <s v="Technical Degree"/>
    <n v="1"/>
    <n v="1438"/>
    <n v="1"/>
    <x v="1"/>
    <n v="74"/>
    <n v="3"/>
    <n v="1"/>
    <s v="Research Scientist"/>
    <n v="4"/>
    <s v="Married"/>
    <x v="2"/>
    <n v="3420"/>
    <n v="10205"/>
    <n v="7"/>
    <s v="Yes"/>
    <s v="No"/>
    <n v="12"/>
    <x v="0"/>
    <n v="3"/>
    <n v="80"/>
    <n v="1"/>
    <n v="17"/>
    <n v="2"/>
    <n v="2"/>
    <n v="6"/>
    <n v="5"/>
    <x v="1"/>
    <n v="2"/>
  </r>
  <r>
    <n v="25"/>
    <x v="0"/>
    <s v="Travel_Rarely"/>
    <n v="383"/>
    <x v="0"/>
    <n v="9"/>
    <n v="2"/>
    <s v="Life Sciences"/>
    <n v="1"/>
    <n v="1439"/>
    <n v="1"/>
    <x v="1"/>
    <n v="68"/>
    <n v="2"/>
    <n v="1"/>
    <s v="Sales Representative"/>
    <n v="1"/>
    <s v="Married"/>
    <x v="4"/>
    <n v="4400"/>
    <n v="15182"/>
    <n v="3"/>
    <s v="Yes"/>
    <s v="No"/>
    <n v="12"/>
    <x v="0"/>
    <n v="1"/>
    <n v="80"/>
    <n v="0"/>
    <n v="6"/>
    <n v="2"/>
    <n v="3"/>
    <n v="3"/>
    <n v="2"/>
    <x v="3"/>
    <n v="2"/>
  </r>
  <r>
    <n v="37"/>
    <x v="1"/>
    <s v="Non-Travel"/>
    <n v="1413"/>
    <x v="1"/>
    <n v="5"/>
    <n v="2"/>
    <s v="Technical Degree"/>
    <n v="1"/>
    <n v="1440"/>
    <n v="3"/>
    <x v="1"/>
    <n v="84"/>
    <n v="4"/>
    <n v="1"/>
    <s v="Laboratory Technician"/>
    <n v="3"/>
    <s v="Single"/>
    <x v="2"/>
    <n v="3500"/>
    <n v="25470"/>
    <n v="0"/>
    <s v="Yes"/>
    <s v="No"/>
    <n v="14"/>
    <x v="0"/>
    <n v="1"/>
    <n v="80"/>
    <n v="0"/>
    <n v="7"/>
    <n v="2"/>
    <n v="1"/>
    <n v="6"/>
    <n v="5"/>
    <x v="1"/>
    <n v="3"/>
  </r>
  <r>
    <n v="56"/>
    <x v="1"/>
    <s v="Travel_Rarely"/>
    <n v="1255"/>
    <x v="1"/>
    <n v="1"/>
    <n v="2"/>
    <s v="Life Sciences"/>
    <n v="1"/>
    <n v="1441"/>
    <n v="1"/>
    <x v="0"/>
    <n v="90"/>
    <n v="3"/>
    <n v="1"/>
    <s v="Research Scientist"/>
    <n v="1"/>
    <s v="Married"/>
    <x v="1"/>
    <n v="2066"/>
    <n v="10494"/>
    <n v="2"/>
    <s v="Yes"/>
    <s v="No"/>
    <n v="22"/>
    <x v="1"/>
    <n v="4"/>
    <n v="80"/>
    <n v="1"/>
    <n v="5"/>
    <n v="3"/>
    <n v="4"/>
    <n v="3"/>
    <n v="2"/>
    <x v="1"/>
    <n v="0"/>
  </r>
  <r>
    <n v="47"/>
    <x v="1"/>
    <s v="Travel_Rarely"/>
    <n v="359"/>
    <x v="1"/>
    <n v="2"/>
    <n v="4"/>
    <s v="Medical"/>
    <n v="1"/>
    <n v="1443"/>
    <n v="1"/>
    <x v="0"/>
    <n v="82"/>
    <n v="3"/>
    <n v="4"/>
    <s v="Research Director"/>
    <n v="3"/>
    <s v="Married"/>
    <x v="16"/>
    <n v="17169"/>
    <n v="26703"/>
    <n v="3"/>
    <s v="Yes"/>
    <s v="No"/>
    <n v="19"/>
    <x v="0"/>
    <n v="2"/>
    <n v="80"/>
    <n v="2"/>
    <n v="26"/>
    <n v="2"/>
    <n v="4"/>
    <n v="20"/>
    <n v="17"/>
    <x v="8"/>
    <n v="6"/>
  </r>
  <r>
    <n v="24"/>
    <x v="1"/>
    <s v="Travel_Rarely"/>
    <n v="1476"/>
    <x v="0"/>
    <n v="4"/>
    <n v="1"/>
    <s v="Medical"/>
    <n v="1"/>
    <n v="1445"/>
    <n v="4"/>
    <x v="0"/>
    <n v="42"/>
    <n v="3"/>
    <n v="2"/>
    <s v="Sales Executive"/>
    <n v="3"/>
    <s v="Married"/>
    <x v="4"/>
    <n v="4162"/>
    <n v="15211"/>
    <n v="1"/>
    <s v="Yes"/>
    <s v="Yes"/>
    <n v="12"/>
    <x v="0"/>
    <n v="3"/>
    <n v="80"/>
    <n v="2"/>
    <n v="5"/>
    <n v="3"/>
    <n v="3"/>
    <n v="5"/>
    <n v="4"/>
    <x v="0"/>
    <n v="3"/>
  </r>
  <r>
    <n v="32"/>
    <x v="1"/>
    <s v="Travel_Rarely"/>
    <n v="601"/>
    <x v="0"/>
    <n v="7"/>
    <n v="5"/>
    <s v="Marketing"/>
    <n v="1"/>
    <n v="1446"/>
    <n v="4"/>
    <x v="1"/>
    <n v="97"/>
    <n v="3"/>
    <n v="2"/>
    <s v="Sales Executive"/>
    <n v="4"/>
    <s v="Married"/>
    <x v="3"/>
    <n v="9204"/>
    <n v="23343"/>
    <n v="4"/>
    <s v="Yes"/>
    <s v="No"/>
    <n v="12"/>
    <x v="0"/>
    <n v="3"/>
    <n v="80"/>
    <n v="1"/>
    <n v="7"/>
    <n v="3"/>
    <n v="2"/>
    <n v="4"/>
    <n v="3"/>
    <x v="0"/>
    <n v="3"/>
  </r>
  <r>
    <n v="34"/>
    <x v="1"/>
    <s v="Travel_Rarely"/>
    <n v="401"/>
    <x v="1"/>
    <n v="1"/>
    <n v="3"/>
    <s v="Life Sciences"/>
    <n v="1"/>
    <n v="1447"/>
    <n v="4"/>
    <x v="0"/>
    <n v="86"/>
    <n v="2"/>
    <n v="1"/>
    <s v="Laboratory Technician"/>
    <n v="2"/>
    <s v="Married"/>
    <x v="2"/>
    <n v="3294"/>
    <n v="3708"/>
    <n v="5"/>
    <s v="Yes"/>
    <s v="No"/>
    <n v="17"/>
    <x v="0"/>
    <n v="1"/>
    <n v="80"/>
    <n v="1"/>
    <n v="7"/>
    <n v="2"/>
    <n v="2"/>
    <n v="5"/>
    <n v="4"/>
    <x v="0"/>
    <n v="2"/>
  </r>
  <r>
    <n v="41"/>
    <x v="1"/>
    <s v="Travel_Rarely"/>
    <n v="1283"/>
    <x v="1"/>
    <n v="5"/>
    <n v="5"/>
    <s v="Medical"/>
    <n v="1"/>
    <n v="1448"/>
    <n v="2"/>
    <x v="1"/>
    <n v="90"/>
    <n v="4"/>
    <n v="1"/>
    <s v="Research Scientist"/>
    <n v="3"/>
    <s v="Married"/>
    <x v="1"/>
    <n v="2127"/>
    <n v="5561"/>
    <n v="2"/>
    <s v="Yes"/>
    <s v="Yes"/>
    <n v="12"/>
    <x v="0"/>
    <n v="1"/>
    <n v="80"/>
    <n v="0"/>
    <n v="7"/>
    <n v="5"/>
    <n v="2"/>
    <n v="4"/>
    <n v="2"/>
    <x v="0"/>
    <n v="3"/>
  </r>
  <r>
    <n v="40"/>
    <x v="1"/>
    <s v="Non-Travel"/>
    <n v="663"/>
    <x v="1"/>
    <n v="9"/>
    <n v="4"/>
    <s v="Other"/>
    <n v="1"/>
    <n v="1449"/>
    <n v="3"/>
    <x v="1"/>
    <n v="81"/>
    <n v="3"/>
    <n v="2"/>
    <s v="Laboratory Technician"/>
    <n v="3"/>
    <s v="Divorced"/>
    <x v="2"/>
    <n v="3975"/>
    <n v="23099"/>
    <n v="3"/>
    <s v="Yes"/>
    <s v="No"/>
    <n v="11"/>
    <x v="0"/>
    <n v="3"/>
    <n v="80"/>
    <n v="2"/>
    <n v="11"/>
    <n v="2"/>
    <n v="4"/>
    <n v="8"/>
    <n v="7"/>
    <x v="0"/>
    <n v="7"/>
  </r>
  <r>
    <n v="31"/>
    <x v="1"/>
    <s v="Travel_Rarely"/>
    <n v="326"/>
    <x v="0"/>
    <n v="8"/>
    <n v="2"/>
    <s v="Life Sciences"/>
    <n v="1"/>
    <n v="1453"/>
    <n v="1"/>
    <x v="1"/>
    <n v="31"/>
    <n v="3"/>
    <n v="3"/>
    <s v="Sales Executive"/>
    <n v="4"/>
    <s v="Divorced"/>
    <x v="10"/>
    <n v="10793"/>
    <n v="8386"/>
    <n v="1"/>
    <s v="Yes"/>
    <s v="No"/>
    <n v="18"/>
    <x v="0"/>
    <n v="1"/>
    <n v="80"/>
    <n v="1"/>
    <n v="13"/>
    <n v="5"/>
    <n v="3"/>
    <n v="13"/>
    <n v="7"/>
    <x v="10"/>
    <n v="9"/>
  </r>
  <r>
    <n v="46"/>
    <x v="0"/>
    <s v="Travel_Rarely"/>
    <n v="377"/>
    <x v="0"/>
    <n v="9"/>
    <n v="3"/>
    <s v="Marketing"/>
    <n v="1"/>
    <n v="1457"/>
    <n v="1"/>
    <x v="1"/>
    <n v="52"/>
    <n v="3"/>
    <n v="3"/>
    <s v="Sales Executive"/>
    <n v="4"/>
    <s v="Divorced"/>
    <x v="10"/>
    <n v="10096"/>
    <n v="15986"/>
    <n v="4"/>
    <s v="Yes"/>
    <s v="No"/>
    <n v="11"/>
    <x v="0"/>
    <n v="1"/>
    <n v="80"/>
    <n v="1"/>
    <n v="28"/>
    <n v="1"/>
    <n v="4"/>
    <n v="7"/>
    <n v="7"/>
    <x v="5"/>
    <n v="3"/>
  </r>
  <r>
    <n v="39"/>
    <x v="0"/>
    <s v="Non-Travel"/>
    <n v="592"/>
    <x v="1"/>
    <n v="2"/>
    <n v="3"/>
    <s v="Life Sciences"/>
    <n v="1"/>
    <n v="1458"/>
    <n v="1"/>
    <x v="0"/>
    <n v="54"/>
    <n v="2"/>
    <n v="1"/>
    <s v="Laboratory Technician"/>
    <n v="1"/>
    <s v="Single"/>
    <x v="2"/>
    <n v="3646"/>
    <n v="17181"/>
    <n v="2"/>
    <s v="Yes"/>
    <s v="Yes"/>
    <n v="23"/>
    <x v="1"/>
    <n v="2"/>
    <n v="80"/>
    <n v="0"/>
    <n v="11"/>
    <n v="2"/>
    <n v="4"/>
    <n v="1"/>
    <n v="0"/>
    <x v="0"/>
    <n v="0"/>
  </r>
  <r>
    <n v="31"/>
    <x v="0"/>
    <s v="Travel_Frequently"/>
    <n v="1445"/>
    <x v="1"/>
    <n v="1"/>
    <n v="5"/>
    <s v="Life Sciences"/>
    <n v="1"/>
    <n v="1459"/>
    <n v="3"/>
    <x v="0"/>
    <n v="100"/>
    <n v="4"/>
    <n v="3"/>
    <s v="Manufacturing Director"/>
    <n v="2"/>
    <s v="Single"/>
    <x v="14"/>
    <n v="7446"/>
    <n v="8931"/>
    <n v="1"/>
    <s v="Yes"/>
    <s v="No"/>
    <n v="11"/>
    <x v="0"/>
    <n v="1"/>
    <n v="80"/>
    <n v="0"/>
    <n v="10"/>
    <n v="2"/>
    <n v="3"/>
    <n v="10"/>
    <n v="8"/>
    <x v="5"/>
    <n v="7"/>
  </r>
  <r>
    <n v="45"/>
    <x v="1"/>
    <s v="Travel_Rarely"/>
    <n v="1038"/>
    <x v="1"/>
    <n v="20"/>
    <n v="3"/>
    <s v="Medical"/>
    <n v="1"/>
    <n v="1460"/>
    <n v="2"/>
    <x v="1"/>
    <n v="95"/>
    <n v="1"/>
    <n v="3"/>
    <s v="Healthcare Representative"/>
    <n v="1"/>
    <s v="Divorced"/>
    <x v="10"/>
    <n v="10851"/>
    <n v="19863"/>
    <n v="2"/>
    <s v="Yes"/>
    <s v="Yes"/>
    <n v="18"/>
    <x v="0"/>
    <n v="2"/>
    <n v="80"/>
    <n v="1"/>
    <n v="24"/>
    <n v="2"/>
    <n v="3"/>
    <n v="7"/>
    <n v="7"/>
    <x v="0"/>
    <n v="7"/>
  </r>
  <r>
    <n v="31"/>
    <x v="1"/>
    <s v="Travel_Rarely"/>
    <n v="1398"/>
    <x v="2"/>
    <n v="8"/>
    <n v="2"/>
    <s v="Medical"/>
    <n v="1"/>
    <n v="1461"/>
    <n v="4"/>
    <x v="0"/>
    <n v="96"/>
    <n v="4"/>
    <n v="1"/>
    <s v="Human Resources"/>
    <n v="2"/>
    <s v="Single"/>
    <x v="1"/>
    <n v="2109"/>
    <n v="24609"/>
    <n v="9"/>
    <s v="Yes"/>
    <s v="No"/>
    <n v="18"/>
    <x v="0"/>
    <n v="4"/>
    <n v="80"/>
    <n v="0"/>
    <n v="8"/>
    <n v="3"/>
    <n v="3"/>
    <n v="3"/>
    <n v="2"/>
    <x v="0"/>
    <n v="2"/>
  </r>
  <r>
    <n v="31"/>
    <x v="0"/>
    <s v="Travel_Frequently"/>
    <n v="523"/>
    <x v="1"/>
    <n v="2"/>
    <n v="3"/>
    <s v="Life Sciences"/>
    <n v="1"/>
    <n v="1464"/>
    <n v="2"/>
    <x v="1"/>
    <n v="94"/>
    <n v="3"/>
    <n v="1"/>
    <s v="Laboratory Technician"/>
    <n v="4"/>
    <s v="Married"/>
    <x v="2"/>
    <n v="3722"/>
    <n v="21081"/>
    <n v="6"/>
    <s v="Yes"/>
    <s v="Yes"/>
    <n v="13"/>
    <x v="0"/>
    <n v="3"/>
    <n v="80"/>
    <n v="1"/>
    <n v="7"/>
    <n v="2"/>
    <n v="1"/>
    <n v="2"/>
    <n v="2"/>
    <x v="3"/>
    <n v="2"/>
  </r>
  <r>
    <n v="45"/>
    <x v="1"/>
    <s v="Travel_Rarely"/>
    <n v="1448"/>
    <x v="1"/>
    <n v="29"/>
    <n v="3"/>
    <s v="Technical Degree"/>
    <n v="1"/>
    <n v="1465"/>
    <n v="2"/>
    <x v="1"/>
    <n v="55"/>
    <n v="3"/>
    <n v="3"/>
    <s v="Manufacturing Director"/>
    <n v="4"/>
    <s v="Married"/>
    <x v="3"/>
    <n v="9380"/>
    <n v="14720"/>
    <n v="4"/>
    <s v="Yes"/>
    <s v="Yes"/>
    <n v="18"/>
    <x v="0"/>
    <n v="4"/>
    <n v="80"/>
    <n v="2"/>
    <n v="10"/>
    <n v="4"/>
    <n v="4"/>
    <n v="3"/>
    <n v="1"/>
    <x v="1"/>
    <n v="2"/>
  </r>
  <r>
    <n v="48"/>
    <x v="1"/>
    <s v="Travel_Rarely"/>
    <n v="1221"/>
    <x v="0"/>
    <n v="7"/>
    <n v="3"/>
    <s v="Marketing"/>
    <n v="1"/>
    <n v="1466"/>
    <n v="3"/>
    <x v="1"/>
    <n v="96"/>
    <n v="3"/>
    <n v="2"/>
    <s v="Sales Executive"/>
    <n v="1"/>
    <s v="Divorced"/>
    <x v="0"/>
    <n v="5486"/>
    <n v="24795"/>
    <n v="4"/>
    <s v="Yes"/>
    <s v="No"/>
    <n v="11"/>
    <x v="0"/>
    <n v="1"/>
    <n v="80"/>
    <n v="3"/>
    <n v="15"/>
    <n v="3"/>
    <n v="3"/>
    <n v="2"/>
    <n v="2"/>
    <x v="3"/>
    <n v="2"/>
  </r>
  <r>
    <n v="34"/>
    <x v="0"/>
    <s v="Travel_Rarely"/>
    <n v="1107"/>
    <x v="2"/>
    <n v="9"/>
    <n v="4"/>
    <s v="Technical Degree"/>
    <n v="1"/>
    <n v="1467"/>
    <n v="1"/>
    <x v="0"/>
    <n v="52"/>
    <n v="3"/>
    <n v="1"/>
    <s v="Human Resources"/>
    <n v="3"/>
    <s v="Married"/>
    <x v="1"/>
    <n v="2742"/>
    <n v="3072"/>
    <n v="1"/>
    <s v="Yes"/>
    <s v="No"/>
    <n v="15"/>
    <x v="0"/>
    <n v="4"/>
    <n v="80"/>
    <n v="0"/>
    <n v="2"/>
    <n v="0"/>
    <n v="3"/>
    <n v="2"/>
    <n v="2"/>
    <x v="3"/>
    <n v="2"/>
  </r>
  <r>
    <n v="40"/>
    <x v="1"/>
    <s v="Non-Travel"/>
    <n v="218"/>
    <x v="1"/>
    <n v="8"/>
    <n v="1"/>
    <s v="Medical"/>
    <n v="1"/>
    <n v="1468"/>
    <n v="4"/>
    <x v="1"/>
    <n v="55"/>
    <n v="2"/>
    <n v="3"/>
    <s v="Research Director"/>
    <n v="2"/>
    <s v="Divorced"/>
    <x v="13"/>
    <n v="13757"/>
    <n v="25178"/>
    <n v="2"/>
    <s v="Yes"/>
    <s v="No"/>
    <n v="11"/>
    <x v="0"/>
    <n v="3"/>
    <n v="80"/>
    <n v="1"/>
    <n v="16"/>
    <n v="5"/>
    <n v="3"/>
    <n v="9"/>
    <n v="8"/>
    <x v="5"/>
    <n v="8"/>
  </r>
  <r>
    <n v="28"/>
    <x v="1"/>
    <s v="Travel_Rarely"/>
    <n v="866"/>
    <x v="0"/>
    <n v="5"/>
    <n v="3"/>
    <s v="Medical"/>
    <n v="1"/>
    <n v="1469"/>
    <n v="4"/>
    <x v="1"/>
    <n v="84"/>
    <n v="3"/>
    <n v="2"/>
    <s v="Sales Executive"/>
    <n v="1"/>
    <s v="Single"/>
    <x v="12"/>
    <n v="8463"/>
    <n v="23490"/>
    <n v="0"/>
    <s v="Yes"/>
    <s v="No"/>
    <n v="18"/>
    <x v="0"/>
    <n v="4"/>
    <n v="80"/>
    <n v="0"/>
    <n v="6"/>
    <n v="4"/>
    <n v="3"/>
    <n v="5"/>
    <n v="4"/>
    <x v="1"/>
    <n v="3"/>
  </r>
  <r>
    <n v="44"/>
    <x v="1"/>
    <s v="Non-Travel"/>
    <n v="981"/>
    <x v="1"/>
    <n v="5"/>
    <n v="3"/>
    <s v="Life Sciences"/>
    <n v="1"/>
    <n v="1471"/>
    <n v="3"/>
    <x v="1"/>
    <n v="90"/>
    <n v="2"/>
    <n v="1"/>
    <s v="Laboratory Technician"/>
    <n v="3"/>
    <s v="Single"/>
    <x v="2"/>
    <n v="3162"/>
    <n v="7973"/>
    <n v="3"/>
    <s v="Yes"/>
    <s v="No"/>
    <n v="14"/>
    <x v="0"/>
    <n v="4"/>
    <n v="80"/>
    <n v="0"/>
    <n v="7"/>
    <n v="5"/>
    <n v="3"/>
    <n v="5"/>
    <n v="2"/>
    <x v="0"/>
    <n v="3"/>
  </r>
  <r>
    <n v="53"/>
    <x v="1"/>
    <s v="Travel_Rarely"/>
    <n v="447"/>
    <x v="1"/>
    <n v="2"/>
    <n v="3"/>
    <s v="Medical"/>
    <n v="1"/>
    <n v="1472"/>
    <n v="4"/>
    <x v="1"/>
    <n v="39"/>
    <n v="4"/>
    <n v="4"/>
    <s v="Research Director"/>
    <n v="2"/>
    <s v="Single"/>
    <x v="17"/>
    <n v="16598"/>
    <n v="19764"/>
    <n v="4"/>
    <s v="Yes"/>
    <s v="No"/>
    <n v="12"/>
    <x v="0"/>
    <n v="2"/>
    <n v="80"/>
    <n v="0"/>
    <n v="35"/>
    <n v="2"/>
    <n v="2"/>
    <n v="9"/>
    <n v="8"/>
    <x v="6"/>
    <n v="8"/>
  </r>
  <r>
    <n v="49"/>
    <x v="1"/>
    <s v="Travel_Rarely"/>
    <n v="1495"/>
    <x v="1"/>
    <n v="5"/>
    <n v="4"/>
    <s v="Technical Degree"/>
    <n v="1"/>
    <n v="1473"/>
    <n v="1"/>
    <x v="1"/>
    <n v="96"/>
    <n v="3"/>
    <n v="2"/>
    <s v="Healthcare Representative"/>
    <n v="3"/>
    <s v="Married"/>
    <x v="9"/>
    <n v="6651"/>
    <n v="21534"/>
    <n v="2"/>
    <s v="Yes"/>
    <s v="No"/>
    <n v="14"/>
    <x v="0"/>
    <n v="2"/>
    <n v="80"/>
    <n v="1"/>
    <n v="20"/>
    <n v="0"/>
    <n v="2"/>
    <n v="3"/>
    <n v="2"/>
    <x v="1"/>
    <n v="2"/>
  </r>
  <r>
    <n v="40"/>
    <x v="1"/>
    <s v="Travel_Rarely"/>
    <n v="896"/>
    <x v="1"/>
    <n v="2"/>
    <n v="3"/>
    <s v="Medical"/>
    <n v="1"/>
    <n v="1474"/>
    <n v="3"/>
    <x v="1"/>
    <n v="68"/>
    <n v="3"/>
    <n v="1"/>
    <s v="Research Scientist"/>
    <n v="3"/>
    <s v="Divorced"/>
    <x v="1"/>
    <n v="2345"/>
    <n v="8045"/>
    <n v="2"/>
    <s v="Yes"/>
    <s v="No"/>
    <n v="14"/>
    <x v="0"/>
    <n v="3"/>
    <n v="80"/>
    <n v="1"/>
    <n v="8"/>
    <n v="3"/>
    <n v="4"/>
    <n v="3"/>
    <n v="1"/>
    <x v="1"/>
    <n v="2"/>
  </r>
  <r>
    <n v="44"/>
    <x v="1"/>
    <s v="Travel_Rarely"/>
    <n v="1467"/>
    <x v="1"/>
    <n v="20"/>
    <n v="3"/>
    <s v="Life Sciences"/>
    <n v="1"/>
    <n v="1475"/>
    <n v="4"/>
    <x v="1"/>
    <n v="49"/>
    <n v="3"/>
    <n v="1"/>
    <s v="Research Scientist"/>
    <n v="2"/>
    <s v="Single"/>
    <x v="2"/>
    <n v="3420"/>
    <n v="21158"/>
    <n v="1"/>
    <s v="Yes"/>
    <s v="No"/>
    <n v="13"/>
    <x v="0"/>
    <n v="3"/>
    <n v="80"/>
    <n v="0"/>
    <n v="6"/>
    <n v="3"/>
    <n v="2"/>
    <n v="5"/>
    <n v="2"/>
    <x v="1"/>
    <n v="3"/>
  </r>
  <r>
    <n v="33"/>
    <x v="1"/>
    <s v="Travel_Frequently"/>
    <n v="430"/>
    <x v="0"/>
    <n v="7"/>
    <n v="3"/>
    <s v="Medical"/>
    <n v="1"/>
    <n v="1477"/>
    <n v="4"/>
    <x v="1"/>
    <n v="54"/>
    <n v="3"/>
    <n v="2"/>
    <s v="Sales Executive"/>
    <n v="1"/>
    <s v="Married"/>
    <x v="4"/>
    <n v="4373"/>
    <n v="17456"/>
    <n v="0"/>
    <s v="Yes"/>
    <s v="No"/>
    <n v="14"/>
    <x v="0"/>
    <n v="1"/>
    <n v="80"/>
    <n v="2"/>
    <n v="5"/>
    <n v="2"/>
    <n v="3"/>
    <n v="4"/>
    <n v="3"/>
    <x v="0"/>
    <n v="3"/>
  </r>
  <r>
    <n v="34"/>
    <x v="1"/>
    <s v="Travel_Rarely"/>
    <n v="1326"/>
    <x v="0"/>
    <n v="3"/>
    <n v="3"/>
    <s v="Other"/>
    <n v="1"/>
    <n v="1478"/>
    <n v="4"/>
    <x v="1"/>
    <n v="81"/>
    <n v="1"/>
    <n v="2"/>
    <s v="Sales Executive"/>
    <n v="1"/>
    <s v="Single"/>
    <x v="4"/>
    <n v="4759"/>
    <n v="15891"/>
    <n v="3"/>
    <s v="Yes"/>
    <s v="No"/>
    <n v="18"/>
    <x v="0"/>
    <n v="4"/>
    <n v="80"/>
    <n v="0"/>
    <n v="15"/>
    <n v="2"/>
    <n v="3"/>
    <n v="13"/>
    <n v="9"/>
    <x v="2"/>
    <n v="12"/>
  </r>
  <r>
    <n v="30"/>
    <x v="1"/>
    <s v="Travel_Rarely"/>
    <n v="1358"/>
    <x v="0"/>
    <n v="16"/>
    <n v="1"/>
    <s v="Life Sciences"/>
    <n v="1"/>
    <n v="1479"/>
    <n v="4"/>
    <x v="1"/>
    <n v="96"/>
    <n v="3"/>
    <n v="2"/>
    <s v="Sales Executive"/>
    <n v="3"/>
    <s v="Married"/>
    <x v="0"/>
    <n v="5301"/>
    <n v="2939"/>
    <n v="8"/>
    <s v="Yes"/>
    <s v="No"/>
    <n v="15"/>
    <x v="0"/>
    <n v="3"/>
    <n v="80"/>
    <n v="2"/>
    <n v="4"/>
    <n v="2"/>
    <n v="2"/>
    <n v="2"/>
    <n v="1"/>
    <x v="3"/>
    <n v="2"/>
  </r>
  <r>
    <n v="42"/>
    <x v="1"/>
    <s v="Travel_Frequently"/>
    <n v="748"/>
    <x v="1"/>
    <n v="9"/>
    <n v="2"/>
    <s v="Medical"/>
    <n v="1"/>
    <n v="1480"/>
    <n v="1"/>
    <x v="0"/>
    <n v="74"/>
    <n v="3"/>
    <n v="1"/>
    <s v="Laboratory Technician"/>
    <n v="4"/>
    <s v="Single"/>
    <x v="2"/>
    <n v="3673"/>
    <n v="16458"/>
    <n v="1"/>
    <s v="Yes"/>
    <s v="No"/>
    <n v="13"/>
    <x v="0"/>
    <n v="3"/>
    <n v="80"/>
    <n v="0"/>
    <n v="12"/>
    <n v="3"/>
    <n v="3"/>
    <n v="12"/>
    <n v="9"/>
    <x v="8"/>
    <n v="8"/>
  </r>
  <r>
    <n v="44"/>
    <x v="1"/>
    <s v="Travel_Frequently"/>
    <n v="383"/>
    <x v="0"/>
    <n v="1"/>
    <n v="5"/>
    <s v="Marketing"/>
    <n v="1"/>
    <n v="1481"/>
    <n v="1"/>
    <x v="0"/>
    <n v="79"/>
    <n v="3"/>
    <n v="2"/>
    <s v="Sales Executive"/>
    <n v="3"/>
    <s v="Married"/>
    <x v="4"/>
    <n v="4768"/>
    <n v="9282"/>
    <n v="7"/>
    <s v="Yes"/>
    <s v="No"/>
    <n v="12"/>
    <x v="0"/>
    <n v="3"/>
    <n v="80"/>
    <n v="1"/>
    <n v="11"/>
    <n v="4"/>
    <n v="2"/>
    <n v="1"/>
    <n v="0"/>
    <x v="0"/>
    <n v="0"/>
  </r>
  <r>
    <n v="30"/>
    <x v="1"/>
    <s v="Non-Travel"/>
    <n v="990"/>
    <x v="1"/>
    <n v="7"/>
    <n v="3"/>
    <s v="Technical Degree"/>
    <n v="1"/>
    <n v="1482"/>
    <n v="3"/>
    <x v="1"/>
    <n v="64"/>
    <n v="3"/>
    <n v="1"/>
    <s v="Research Scientist"/>
    <n v="3"/>
    <s v="Divorced"/>
    <x v="7"/>
    <n v="1274"/>
    <n v="7152"/>
    <n v="1"/>
    <s v="Yes"/>
    <s v="No"/>
    <n v="13"/>
    <x v="0"/>
    <n v="2"/>
    <n v="80"/>
    <n v="2"/>
    <n v="1"/>
    <n v="2"/>
    <n v="2"/>
    <n v="1"/>
    <n v="0"/>
    <x v="0"/>
    <n v="0"/>
  </r>
  <r>
    <n v="57"/>
    <x v="1"/>
    <s v="Travel_Rarely"/>
    <n v="405"/>
    <x v="1"/>
    <n v="1"/>
    <n v="2"/>
    <s v="Life Sciences"/>
    <n v="1"/>
    <n v="1483"/>
    <n v="2"/>
    <x v="1"/>
    <n v="93"/>
    <n v="4"/>
    <n v="2"/>
    <s v="Research Scientist"/>
    <n v="3"/>
    <s v="Married"/>
    <x v="4"/>
    <n v="4900"/>
    <n v="2721"/>
    <n v="0"/>
    <s v="Yes"/>
    <s v="No"/>
    <n v="24"/>
    <x v="1"/>
    <n v="1"/>
    <n v="80"/>
    <n v="1"/>
    <n v="13"/>
    <n v="2"/>
    <n v="2"/>
    <n v="12"/>
    <n v="9"/>
    <x v="3"/>
    <n v="8"/>
  </r>
  <r>
    <n v="49"/>
    <x v="1"/>
    <s v="Travel_Rarely"/>
    <n v="1490"/>
    <x v="1"/>
    <n v="7"/>
    <n v="4"/>
    <s v="Life Sciences"/>
    <n v="1"/>
    <n v="1484"/>
    <n v="3"/>
    <x v="1"/>
    <n v="35"/>
    <n v="3"/>
    <n v="3"/>
    <s v="Healthcare Representative"/>
    <n v="2"/>
    <s v="Divorced"/>
    <x v="10"/>
    <n v="10466"/>
    <n v="20948"/>
    <n v="3"/>
    <s v="Yes"/>
    <s v="No"/>
    <n v="14"/>
    <x v="0"/>
    <n v="2"/>
    <n v="80"/>
    <n v="2"/>
    <n v="29"/>
    <n v="3"/>
    <n v="3"/>
    <n v="8"/>
    <n v="7"/>
    <x v="0"/>
    <n v="7"/>
  </r>
  <r>
    <n v="34"/>
    <x v="1"/>
    <s v="Travel_Frequently"/>
    <n v="829"/>
    <x v="1"/>
    <n v="15"/>
    <n v="3"/>
    <s v="Medical"/>
    <n v="1"/>
    <n v="1485"/>
    <n v="2"/>
    <x v="1"/>
    <n v="71"/>
    <n v="3"/>
    <n v="4"/>
    <s v="Research Director"/>
    <n v="1"/>
    <s v="Divorced"/>
    <x v="16"/>
    <n v="17007"/>
    <n v="11929"/>
    <n v="7"/>
    <s v="Yes"/>
    <s v="No"/>
    <n v="14"/>
    <x v="0"/>
    <n v="4"/>
    <n v="80"/>
    <n v="2"/>
    <n v="16"/>
    <n v="3"/>
    <n v="2"/>
    <n v="14"/>
    <n v="8"/>
    <x v="7"/>
    <n v="9"/>
  </r>
  <r>
    <n v="28"/>
    <x v="0"/>
    <s v="Travel_Frequently"/>
    <n v="1496"/>
    <x v="0"/>
    <n v="1"/>
    <n v="3"/>
    <s v="Technical Degree"/>
    <n v="1"/>
    <n v="1486"/>
    <n v="1"/>
    <x v="1"/>
    <n v="92"/>
    <n v="3"/>
    <n v="1"/>
    <s v="Sales Representative"/>
    <n v="3"/>
    <s v="Married"/>
    <x v="1"/>
    <n v="2909"/>
    <n v="15747"/>
    <n v="3"/>
    <s v="Yes"/>
    <s v="No"/>
    <n v="15"/>
    <x v="0"/>
    <n v="4"/>
    <n v="80"/>
    <n v="1"/>
    <n v="5"/>
    <n v="3"/>
    <n v="4"/>
    <n v="3"/>
    <n v="2"/>
    <x v="1"/>
    <n v="2"/>
  </r>
  <r>
    <n v="29"/>
    <x v="0"/>
    <s v="Travel_Frequently"/>
    <n v="115"/>
    <x v="0"/>
    <n v="13"/>
    <n v="3"/>
    <s v="Technical Degree"/>
    <n v="1"/>
    <n v="1487"/>
    <n v="1"/>
    <x v="0"/>
    <n v="51"/>
    <n v="3"/>
    <n v="2"/>
    <s v="Sales Executive"/>
    <n v="2"/>
    <s v="Single"/>
    <x v="0"/>
    <n v="5765"/>
    <n v="17485"/>
    <n v="5"/>
    <s v="Yes"/>
    <s v="No"/>
    <n v="11"/>
    <x v="0"/>
    <n v="1"/>
    <n v="80"/>
    <n v="0"/>
    <n v="7"/>
    <n v="4"/>
    <n v="1"/>
    <n v="5"/>
    <n v="3"/>
    <x v="0"/>
    <n v="0"/>
  </r>
  <r>
    <n v="34"/>
    <x v="0"/>
    <s v="Travel_Rarely"/>
    <n v="790"/>
    <x v="0"/>
    <n v="24"/>
    <n v="4"/>
    <s v="Medical"/>
    <n v="1"/>
    <n v="1489"/>
    <n v="1"/>
    <x v="0"/>
    <n v="40"/>
    <n v="2"/>
    <n v="2"/>
    <s v="Sales Executive"/>
    <n v="2"/>
    <s v="Single"/>
    <x v="4"/>
    <n v="4599"/>
    <n v="7815"/>
    <n v="0"/>
    <s v="Yes"/>
    <s v="Yes"/>
    <n v="23"/>
    <x v="1"/>
    <n v="3"/>
    <n v="80"/>
    <n v="0"/>
    <n v="16"/>
    <n v="2"/>
    <n v="4"/>
    <n v="15"/>
    <n v="9"/>
    <x v="13"/>
    <n v="10"/>
  </r>
  <r>
    <n v="35"/>
    <x v="1"/>
    <s v="Travel_Rarely"/>
    <n v="660"/>
    <x v="0"/>
    <n v="7"/>
    <n v="1"/>
    <s v="Life Sciences"/>
    <n v="1"/>
    <n v="1492"/>
    <n v="4"/>
    <x v="1"/>
    <n v="76"/>
    <n v="3"/>
    <n v="1"/>
    <s v="Sales Representative"/>
    <n v="3"/>
    <s v="Married"/>
    <x v="1"/>
    <n v="2404"/>
    <n v="16192"/>
    <n v="1"/>
    <s v="Yes"/>
    <s v="No"/>
    <n v="13"/>
    <x v="0"/>
    <n v="1"/>
    <n v="80"/>
    <n v="1"/>
    <n v="1"/>
    <n v="3"/>
    <n v="3"/>
    <n v="1"/>
    <n v="0"/>
    <x v="0"/>
    <n v="0"/>
  </r>
  <r>
    <n v="24"/>
    <x v="0"/>
    <s v="Travel_Frequently"/>
    <n v="381"/>
    <x v="1"/>
    <n v="9"/>
    <n v="3"/>
    <s v="Medical"/>
    <n v="1"/>
    <n v="1494"/>
    <n v="2"/>
    <x v="1"/>
    <n v="89"/>
    <n v="3"/>
    <n v="1"/>
    <s v="Laboratory Technician"/>
    <n v="1"/>
    <s v="Single"/>
    <x v="2"/>
    <n v="3172"/>
    <n v="16998"/>
    <n v="2"/>
    <s v="Yes"/>
    <s v="Yes"/>
    <n v="11"/>
    <x v="0"/>
    <n v="3"/>
    <n v="80"/>
    <n v="0"/>
    <n v="4"/>
    <n v="2"/>
    <n v="2"/>
    <n v="0"/>
    <n v="0"/>
    <x v="0"/>
    <n v="0"/>
  </r>
  <r>
    <n v="24"/>
    <x v="1"/>
    <s v="Non-Travel"/>
    <n v="830"/>
    <x v="0"/>
    <n v="13"/>
    <n v="2"/>
    <s v="Life Sciences"/>
    <n v="1"/>
    <n v="1495"/>
    <n v="4"/>
    <x v="0"/>
    <n v="78"/>
    <n v="3"/>
    <n v="1"/>
    <s v="Sales Representative"/>
    <n v="2"/>
    <s v="Married"/>
    <x v="1"/>
    <n v="2033"/>
    <n v="7103"/>
    <n v="1"/>
    <s v="Yes"/>
    <s v="No"/>
    <n v="13"/>
    <x v="0"/>
    <n v="3"/>
    <n v="80"/>
    <n v="1"/>
    <n v="1"/>
    <n v="2"/>
    <n v="3"/>
    <n v="1"/>
    <n v="0"/>
    <x v="0"/>
    <n v="0"/>
  </r>
  <r>
    <n v="44"/>
    <x v="1"/>
    <s v="Travel_Frequently"/>
    <n v="1193"/>
    <x v="1"/>
    <n v="2"/>
    <n v="1"/>
    <s v="Medical"/>
    <n v="1"/>
    <n v="1496"/>
    <n v="2"/>
    <x v="1"/>
    <n v="86"/>
    <n v="3"/>
    <n v="3"/>
    <s v="Manufacturing Director"/>
    <n v="3"/>
    <s v="Single"/>
    <x v="10"/>
    <n v="10209"/>
    <n v="19719"/>
    <n v="5"/>
    <s v="Yes"/>
    <s v="Yes"/>
    <n v="18"/>
    <x v="0"/>
    <n v="2"/>
    <n v="80"/>
    <n v="0"/>
    <n v="16"/>
    <n v="2"/>
    <n v="2"/>
    <n v="2"/>
    <n v="2"/>
    <x v="3"/>
    <n v="2"/>
  </r>
  <r>
    <n v="29"/>
    <x v="1"/>
    <s v="Travel_Rarely"/>
    <n v="1246"/>
    <x v="0"/>
    <n v="19"/>
    <n v="3"/>
    <s v="Life Sciences"/>
    <n v="1"/>
    <n v="1497"/>
    <n v="3"/>
    <x v="1"/>
    <n v="77"/>
    <n v="2"/>
    <n v="2"/>
    <s v="Sales Executive"/>
    <n v="3"/>
    <s v="Divorced"/>
    <x v="12"/>
    <n v="8620"/>
    <n v="23757"/>
    <n v="1"/>
    <s v="Yes"/>
    <s v="No"/>
    <n v="14"/>
    <x v="0"/>
    <n v="3"/>
    <n v="80"/>
    <n v="2"/>
    <n v="10"/>
    <n v="3"/>
    <n v="3"/>
    <n v="10"/>
    <n v="7"/>
    <x v="0"/>
    <n v="4"/>
  </r>
  <r>
    <n v="30"/>
    <x v="1"/>
    <s v="Travel_Rarely"/>
    <n v="330"/>
    <x v="2"/>
    <n v="1"/>
    <n v="3"/>
    <s v="Life Sciences"/>
    <n v="1"/>
    <n v="1499"/>
    <n v="3"/>
    <x v="1"/>
    <n v="46"/>
    <n v="3"/>
    <n v="1"/>
    <s v="Human Resources"/>
    <n v="3"/>
    <s v="Divorced"/>
    <x v="1"/>
    <n v="2064"/>
    <n v="15428"/>
    <n v="0"/>
    <s v="Yes"/>
    <s v="No"/>
    <n v="21"/>
    <x v="1"/>
    <n v="1"/>
    <n v="80"/>
    <n v="1"/>
    <n v="6"/>
    <n v="3"/>
    <n v="4"/>
    <n v="5"/>
    <n v="3"/>
    <x v="1"/>
    <n v="3"/>
  </r>
  <r>
    <n v="55"/>
    <x v="1"/>
    <s v="Travel_Rarely"/>
    <n v="1229"/>
    <x v="1"/>
    <n v="4"/>
    <n v="4"/>
    <s v="Life Sciences"/>
    <n v="1"/>
    <n v="1501"/>
    <n v="4"/>
    <x v="1"/>
    <n v="30"/>
    <n v="3"/>
    <n v="2"/>
    <s v="Healthcare Representative"/>
    <n v="3"/>
    <s v="Married"/>
    <x v="4"/>
    <n v="4035"/>
    <n v="16143"/>
    <n v="0"/>
    <s v="Yes"/>
    <s v="Yes"/>
    <n v="16"/>
    <x v="0"/>
    <n v="2"/>
    <n v="80"/>
    <n v="0"/>
    <n v="4"/>
    <n v="2"/>
    <n v="3"/>
    <n v="3"/>
    <n v="2"/>
    <x v="1"/>
    <n v="2"/>
  </r>
  <r>
    <n v="33"/>
    <x v="1"/>
    <s v="Travel_Rarely"/>
    <n v="1099"/>
    <x v="1"/>
    <n v="4"/>
    <n v="4"/>
    <s v="Medical"/>
    <n v="1"/>
    <n v="1502"/>
    <n v="1"/>
    <x v="0"/>
    <n v="82"/>
    <n v="2"/>
    <n v="1"/>
    <s v="Laboratory Technician"/>
    <n v="2"/>
    <s v="Married"/>
    <x v="2"/>
    <n v="3838"/>
    <n v="8192"/>
    <n v="8"/>
    <s v="Yes"/>
    <s v="No"/>
    <n v="11"/>
    <x v="0"/>
    <n v="4"/>
    <n v="80"/>
    <n v="0"/>
    <n v="8"/>
    <n v="5"/>
    <n v="3"/>
    <n v="5"/>
    <n v="4"/>
    <x v="0"/>
    <n v="2"/>
  </r>
  <r>
    <n v="47"/>
    <x v="1"/>
    <s v="Travel_Rarely"/>
    <n v="571"/>
    <x v="0"/>
    <n v="14"/>
    <n v="3"/>
    <s v="Medical"/>
    <n v="1"/>
    <n v="1503"/>
    <n v="3"/>
    <x v="0"/>
    <n v="78"/>
    <n v="3"/>
    <n v="2"/>
    <s v="Sales Executive"/>
    <n v="3"/>
    <s v="Married"/>
    <x v="4"/>
    <n v="4591"/>
    <n v="24200"/>
    <n v="3"/>
    <s v="Yes"/>
    <s v="Yes"/>
    <n v="17"/>
    <x v="0"/>
    <n v="3"/>
    <n v="80"/>
    <n v="1"/>
    <n v="11"/>
    <n v="4"/>
    <n v="2"/>
    <n v="5"/>
    <n v="4"/>
    <x v="1"/>
    <n v="2"/>
  </r>
  <r>
    <n v="28"/>
    <x v="0"/>
    <s v="Travel_Frequently"/>
    <n v="289"/>
    <x v="1"/>
    <n v="2"/>
    <n v="2"/>
    <s v="Medical"/>
    <n v="1"/>
    <n v="1504"/>
    <n v="3"/>
    <x v="1"/>
    <n v="38"/>
    <n v="2"/>
    <n v="1"/>
    <s v="Laboratory Technician"/>
    <n v="1"/>
    <s v="Single"/>
    <x v="1"/>
    <n v="2561"/>
    <n v="5355"/>
    <n v="7"/>
    <s v="Yes"/>
    <s v="No"/>
    <n v="11"/>
    <x v="0"/>
    <n v="3"/>
    <n v="80"/>
    <n v="0"/>
    <n v="8"/>
    <n v="2"/>
    <n v="2"/>
    <n v="0"/>
    <n v="0"/>
    <x v="0"/>
    <n v="0"/>
  </r>
  <r>
    <n v="28"/>
    <x v="1"/>
    <s v="Travel_Rarely"/>
    <n v="1423"/>
    <x v="1"/>
    <n v="1"/>
    <n v="3"/>
    <s v="Life Sciences"/>
    <n v="1"/>
    <n v="1506"/>
    <n v="1"/>
    <x v="1"/>
    <n v="72"/>
    <n v="2"/>
    <n v="1"/>
    <s v="Research Scientist"/>
    <n v="3"/>
    <s v="Divorced"/>
    <x v="7"/>
    <n v="1563"/>
    <n v="12530"/>
    <n v="1"/>
    <s v="Yes"/>
    <s v="No"/>
    <n v="14"/>
    <x v="0"/>
    <n v="4"/>
    <n v="80"/>
    <n v="1"/>
    <n v="1"/>
    <n v="2"/>
    <n v="1"/>
    <n v="1"/>
    <n v="0"/>
    <x v="0"/>
    <n v="0"/>
  </r>
  <r>
    <n v="28"/>
    <x v="1"/>
    <s v="Travel_Frequently"/>
    <n v="467"/>
    <x v="0"/>
    <n v="7"/>
    <n v="3"/>
    <s v="Life Sciences"/>
    <n v="1"/>
    <n v="1507"/>
    <n v="3"/>
    <x v="1"/>
    <n v="55"/>
    <n v="3"/>
    <n v="2"/>
    <s v="Sales Executive"/>
    <n v="1"/>
    <s v="Single"/>
    <x v="4"/>
    <n v="4898"/>
    <n v="11827"/>
    <n v="0"/>
    <s v="Yes"/>
    <s v="No"/>
    <n v="14"/>
    <x v="0"/>
    <n v="4"/>
    <n v="80"/>
    <n v="0"/>
    <n v="5"/>
    <n v="5"/>
    <n v="3"/>
    <n v="4"/>
    <n v="2"/>
    <x v="1"/>
    <n v="3"/>
  </r>
  <r>
    <n v="49"/>
    <x v="1"/>
    <s v="Travel_Rarely"/>
    <n v="271"/>
    <x v="1"/>
    <n v="3"/>
    <n v="2"/>
    <s v="Medical"/>
    <n v="1"/>
    <n v="1509"/>
    <n v="3"/>
    <x v="0"/>
    <n v="43"/>
    <n v="2"/>
    <n v="2"/>
    <s v="Laboratory Technician"/>
    <n v="1"/>
    <s v="Married"/>
    <x v="4"/>
    <n v="4789"/>
    <n v="23070"/>
    <n v="4"/>
    <s v="Yes"/>
    <s v="No"/>
    <n v="25"/>
    <x v="1"/>
    <n v="1"/>
    <n v="80"/>
    <n v="1"/>
    <n v="10"/>
    <n v="3"/>
    <n v="3"/>
    <n v="3"/>
    <n v="2"/>
    <x v="1"/>
    <n v="2"/>
  </r>
  <r>
    <n v="29"/>
    <x v="1"/>
    <s v="Travel_Frequently"/>
    <n v="410"/>
    <x v="1"/>
    <n v="2"/>
    <n v="1"/>
    <s v="Life Sciences"/>
    <n v="1"/>
    <n v="1513"/>
    <n v="4"/>
    <x v="0"/>
    <n v="97"/>
    <n v="3"/>
    <n v="1"/>
    <s v="Laboratory Technician"/>
    <n v="2"/>
    <s v="Married"/>
    <x v="2"/>
    <n v="3180"/>
    <n v="4668"/>
    <n v="0"/>
    <s v="Yes"/>
    <s v="No"/>
    <n v="13"/>
    <x v="0"/>
    <n v="3"/>
    <n v="80"/>
    <n v="3"/>
    <n v="4"/>
    <n v="3"/>
    <n v="3"/>
    <n v="3"/>
    <n v="2"/>
    <x v="0"/>
    <n v="2"/>
  </r>
  <r>
    <n v="28"/>
    <x v="1"/>
    <s v="Travel_Rarely"/>
    <n v="1083"/>
    <x v="1"/>
    <n v="29"/>
    <n v="1"/>
    <s v="Life Sciences"/>
    <n v="1"/>
    <n v="1514"/>
    <n v="3"/>
    <x v="1"/>
    <n v="96"/>
    <n v="1"/>
    <n v="2"/>
    <s v="Manufacturing Director"/>
    <n v="2"/>
    <s v="Married"/>
    <x v="9"/>
    <n v="6549"/>
    <n v="3173"/>
    <n v="1"/>
    <s v="Yes"/>
    <s v="No"/>
    <n v="14"/>
    <x v="0"/>
    <n v="2"/>
    <n v="80"/>
    <n v="2"/>
    <n v="8"/>
    <n v="2"/>
    <n v="2"/>
    <n v="8"/>
    <n v="6"/>
    <x v="1"/>
    <n v="7"/>
  </r>
  <r>
    <n v="33"/>
    <x v="1"/>
    <s v="Travel_Rarely"/>
    <n v="516"/>
    <x v="1"/>
    <n v="8"/>
    <n v="5"/>
    <s v="Life Sciences"/>
    <n v="1"/>
    <n v="1515"/>
    <n v="4"/>
    <x v="1"/>
    <n v="69"/>
    <n v="3"/>
    <n v="2"/>
    <s v="Healthcare Representative"/>
    <n v="3"/>
    <s v="Single"/>
    <x v="9"/>
    <n v="6388"/>
    <n v="22049"/>
    <n v="2"/>
    <s v="Yes"/>
    <s v="Yes"/>
    <n v="17"/>
    <x v="0"/>
    <n v="1"/>
    <n v="80"/>
    <n v="0"/>
    <n v="14"/>
    <n v="6"/>
    <n v="3"/>
    <n v="0"/>
    <n v="0"/>
    <x v="0"/>
    <n v="0"/>
  </r>
  <r>
    <n v="32"/>
    <x v="1"/>
    <s v="Travel_Rarely"/>
    <n v="495"/>
    <x v="1"/>
    <n v="10"/>
    <n v="3"/>
    <s v="Medical"/>
    <n v="1"/>
    <n v="1516"/>
    <n v="3"/>
    <x v="1"/>
    <n v="64"/>
    <n v="3"/>
    <n v="3"/>
    <s v="Manager"/>
    <n v="4"/>
    <s v="Single"/>
    <x v="6"/>
    <n v="11244"/>
    <n v="21072"/>
    <n v="2"/>
    <s v="Yes"/>
    <s v="No"/>
    <n v="25"/>
    <x v="1"/>
    <n v="2"/>
    <n v="80"/>
    <n v="0"/>
    <n v="10"/>
    <n v="5"/>
    <n v="4"/>
    <n v="5"/>
    <n v="2"/>
    <x v="0"/>
    <n v="0"/>
  </r>
  <r>
    <n v="54"/>
    <x v="1"/>
    <s v="Travel_Frequently"/>
    <n v="1050"/>
    <x v="1"/>
    <n v="11"/>
    <n v="4"/>
    <s v="Medical"/>
    <n v="1"/>
    <n v="1520"/>
    <n v="2"/>
    <x v="0"/>
    <n v="87"/>
    <n v="3"/>
    <n v="4"/>
    <s v="Manager"/>
    <n v="4"/>
    <s v="Divorced"/>
    <x v="17"/>
    <n v="16032"/>
    <n v="24456"/>
    <n v="3"/>
    <s v="Yes"/>
    <s v="No"/>
    <n v="20"/>
    <x v="1"/>
    <n v="1"/>
    <n v="80"/>
    <n v="1"/>
    <n v="26"/>
    <n v="2"/>
    <n v="3"/>
    <n v="14"/>
    <n v="9"/>
    <x v="1"/>
    <n v="12"/>
  </r>
  <r>
    <n v="29"/>
    <x v="0"/>
    <s v="Travel_Rarely"/>
    <n v="224"/>
    <x v="1"/>
    <n v="1"/>
    <n v="4"/>
    <s v="Technical Degree"/>
    <n v="1"/>
    <n v="1522"/>
    <n v="1"/>
    <x v="1"/>
    <n v="100"/>
    <n v="2"/>
    <n v="1"/>
    <s v="Research Scientist"/>
    <n v="1"/>
    <s v="Single"/>
    <x v="1"/>
    <n v="2362"/>
    <n v="7568"/>
    <n v="6"/>
    <s v="Yes"/>
    <s v="No"/>
    <n v="13"/>
    <x v="0"/>
    <n v="3"/>
    <n v="80"/>
    <n v="0"/>
    <n v="11"/>
    <n v="2"/>
    <n v="1"/>
    <n v="9"/>
    <n v="7"/>
    <x v="0"/>
    <n v="7"/>
  </r>
  <r>
    <n v="44"/>
    <x v="1"/>
    <s v="Travel_Rarely"/>
    <n v="136"/>
    <x v="1"/>
    <n v="28"/>
    <n v="3"/>
    <s v="Life Sciences"/>
    <n v="1"/>
    <n v="1523"/>
    <n v="4"/>
    <x v="1"/>
    <n v="32"/>
    <n v="3"/>
    <n v="4"/>
    <s v="Research Director"/>
    <n v="1"/>
    <s v="Married"/>
    <x v="17"/>
    <n v="16328"/>
    <n v="22074"/>
    <n v="3"/>
    <s v="Yes"/>
    <s v="No"/>
    <n v="13"/>
    <x v="0"/>
    <n v="3"/>
    <n v="80"/>
    <n v="1"/>
    <n v="24"/>
    <n v="1"/>
    <n v="4"/>
    <n v="20"/>
    <n v="6"/>
    <x v="15"/>
    <n v="17"/>
  </r>
  <r>
    <n v="39"/>
    <x v="1"/>
    <s v="Travel_Rarely"/>
    <n v="1089"/>
    <x v="1"/>
    <n v="6"/>
    <n v="3"/>
    <s v="Life Sciences"/>
    <n v="1"/>
    <n v="1525"/>
    <n v="2"/>
    <x v="0"/>
    <n v="32"/>
    <n v="3"/>
    <n v="3"/>
    <s v="Manufacturing Director"/>
    <n v="2"/>
    <s v="Single"/>
    <x v="12"/>
    <n v="8376"/>
    <n v="9150"/>
    <n v="4"/>
    <s v="Yes"/>
    <s v="No"/>
    <n v="18"/>
    <x v="0"/>
    <n v="4"/>
    <n v="80"/>
    <n v="0"/>
    <n v="9"/>
    <n v="3"/>
    <n v="3"/>
    <n v="2"/>
    <n v="0"/>
    <x v="3"/>
    <n v="2"/>
  </r>
  <r>
    <n v="46"/>
    <x v="1"/>
    <s v="Travel_Rarely"/>
    <n v="228"/>
    <x v="0"/>
    <n v="3"/>
    <n v="3"/>
    <s v="Life Sciences"/>
    <n v="1"/>
    <n v="1527"/>
    <n v="3"/>
    <x v="0"/>
    <n v="51"/>
    <n v="3"/>
    <n v="4"/>
    <s v="Manager"/>
    <n v="2"/>
    <s v="Married"/>
    <x v="17"/>
    <n v="16606"/>
    <n v="11380"/>
    <n v="8"/>
    <s v="Yes"/>
    <s v="No"/>
    <n v="12"/>
    <x v="0"/>
    <n v="4"/>
    <n v="80"/>
    <n v="1"/>
    <n v="23"/>
    <n v="2"/>
    <n v="4"/>
    <n v="13"/>
    <n v="12"/>
    <x v="8"/>
    <n v="1"/>
  </r>
  <r>
    <n v="35"/>
    <x v="1"/>
    <s v="Travel_Rarely"/>
    <n v="1029"/>
    <x v="1"/>
    <n v="16"/>
    <n v="3"/>
    <s v="Life Sciences"/>
    <n v="1"/>
    <n v="1529"/>
    <n v="4"/>
    <x v="0"/>
    <n v="91"/>
    <n v="2"/>
    <n v="3"/>
    <s v="Healthcare Representative"/>
    <n v="2"/>
    <s v="Single"/>
    <x v="12"/>
    <n v="8606"/>
    <n v="21195"/>
    <n v="1"/>
    <s v="Yes"/>
    <s v="No"/>
    <n v="19"/>
    <x v="0"/>
    <n v="4"/>
    <n v="80"/>
    <n v="0"/>
    <n v="11"/>
    <n v="3"/>
    <n v="1"/>
    <n v="11"/>
    <n v="8"/>
    <x v="2"/>
    <n v="3"/>
  </r>
  <r>
    <n v="23"/>
    <x v="1"/>
    <s v="Travel_Rarely"/>
    <n v="507"/>
    <x v="1"/>
    <n v="20"/>
    <n v="1"/>
    <s v="Life Sciences"/>
    <n v="1"/>
    <n v="1533"/>
    <n v="1"/>
    <x v="1"/>
    <n v="97"/>
    <n v="3"/>
    <n v="2"/>
    <s v="Laboratory Technician"/>
    <n v="3"/>
    <s v="Single"/>
    <x v="1"/>
    <n v="2272"/>
    <n v="24812"/>
    <n v="0"/>
    <s v="Yes"/>
    <s v="No"/>
    <n v="14"/>
    <x v="0"/>
    <n v="2"/>
    <n v="80"/>
    <n v="0"/>
    <n v="5"/>
    <n v="2"/>
    <n v="3"/>
    <n v="4"/>
    <n v="3"/>
    <x v="1"/>
    <n v="2"/>
  </r>
  <r>
    <n v="40"/>
    <x v="0"/>
    <s v="Travel_Rarely"/>
    <n v="676"/>
    <x v="1"/>
    <n v="9"/>
    <n v="4"/>
    <s v="Life Sciences"/>
    <n v="1"/>
    <n v="1534"/>
    <n v="4"/>
    <x v="1"/>
    <n v="86"/>
    <n v="3"/>
    <n v="1"/>
    <s v="Laboratory Technician"/>
    <n v="1"/>
    <s v="Single"/>
    <x v="1"/>
    <n v="2018"/>
    <n v="21831"/>
    <n v="3"/>
    <s v="Yes"/>
    <s v="No"/>
    <n v="14"/>
    <x v="0"/>
    <n v="2"/>
    <n v="80"/>
    <n v="0"/>
    <n v="15"/>
    <n v="3"/>
    <n v="1"/>
    <n v="5"/>
    <n v="4"/>
    <x v="1"/>
    <n v="0"/>
  </r>
  <r>
    <n v="34"/>
    <x v="1"/>
    <s v="Travel_Rarely"/>
    <n v="971"/>
    <x v="0"/>
    <n v="1"/>
    <n v="3"/>
    <s v="Technical Degree"/>
    <n v="1"/>
    <n v="1535"/>
    <n v="4"/>
    <x v="1"/>
    <n v="64"/>
    <n v="2"/>
    <n v="3"/>
    <s v="Sales Executive"/>
    <n v="3"/>
    <s v="Married"/>
    <x v="14"/>
    <n v="7083"/>
    <n v="12288"/>
    <n v="1"/>
    <s v="Yes"/>
    <s v="Yes"/>
    <n v="14"/>
    <x v="0"/>
    <n v="4"/>
    <n v="80"/>
    <n v="0"/>
    <n v="10"/>
    <n v="3"/>
    <n v="3"/>
    <n v="10"/>
    <n v="9"/>
    <x v="6"/>
    <n v="6"/>
  </r>
  <r>
    <n v="31"/>
    <x v="0"/>
    <s v="Travel_Frequently"/>
    <n v="561"/>
    <x v="1"/>
    <n v="3"/>
    <n v="3"/>
    <s v="Life Sciences"/>
    <n v="1"/>
    <n v="1537"/>
    <n v="4"/>
    <x v="0"/>
    <n v="33"/>
    <n v="3"/>
    <n v="1"/>
    <s v="Research Scientist"/>
    <n v="3"/>
    <s v="Single"/>
    <x v="4"/>
    <n v="4084"/>
    <n v="4156"/>
    <n v="1"/>
    <s v="Yes"/>
    <s v="No"/>
    <n v="12"/>
    <x v="0"/>
    <n v="1"/>
    <n v="80"/>
    <n v="0"/>
    <n v="7"/>
    <n v="2"/>
    <n v="1"/>
    <n v="7"/>
    <n v="2"/>
    <x v="4"/>
    <n v="7"/>
  </r>
  <r>
    <n v="50"/>
    <x v="1"/>
    <s v="Travel_Frequently"/>
    <n v="333"/>
    <x v="1"/>
    <n v="22"/>
    <n v="5"/>
    <s v="Medical"/>
    <n v="1"/>
    <n v="1539"/>
    <n v="3"/>
    <x v="1"/>
    <n v="88"/>
    <n v="1"/>
    <n v="4"/>
    <s v="Research Director"/>
    <n v="4"/>
    <s v="Single"/>
    <x v="15"/>
    <n v="14411"/>
    <n v="24450"/>
    <n v="1"/>
    <s v="Yes"/>
    <s v="Yes"/>
    <n v="13"/>
    <x v="0"/>
    <n v="4"/>
    <n v="80"/>
    <n v="0"/>
    <n v="32"/>
    <n v="2"/>
    <n v="3"/>
    <n v="32"/>
    <n v="6"/>
    <x v="11"/>
    <n v="9"/>
  </r>
  <r>
    <n v="34"/>
    <x v="1"/>
    <s v="Travel_Rarely"/>
    <n v="1440"/>
    <x v="0"/>
    <n v="7"/>
    <n v="2"/>
    <s v="Technical Degree"/>
    <n v="1"/>
    <n v="1541"/>
    <n v="2"/>
    <x v="1"/>
    <n v="55"/>
    <n v="3"/>
    <n v="1"/>
    <s v="Sales Representative"/>
    <n v="3"/>
    <s v="Married"/>
    <x v="1"/>
    <n v="2308"/>
    <n v="4944"/>
    <n v="0"/>
    <s v="Yes"/>
    <s v="Yes"/>
    <n v="25"/>
    <x v="1"/>
    <n v="2"/>
    <n v="80"/>
    <n v="1"/>
    <n v="12"/>
    <n v="4"/>
    <n v="3"/>
    <n v="11"/>
    <n v="10"/>
    <x v="8"/>
    <n v="7"/>
  </r>
  <r>
    <n v="42"/>
    <x v="1"/>
    <s v="Travel_Rarely"/>
    <n v="1210"/>
    <x v="1"/>
    <n v="2"/>
    <n v="3"/>
    <s v="Medical"/>
    <n v="1"/>
    <n v="1542"/>
    <n v="3"/>
    <x v="1"/>
    <n v="68"/>
    <n v="2"/>
    <n v="1"/>
    <s v="Laboratory Technician"/>
    <n v="2"/>
    <s v="Married"/>
    <x v="4"/>
    <n v="4841"/>
    <n v="24052"/>
    <n v="4"/>
    <s v="Yes"/>
    <s v="No"/>
    <n v="14"/>
    <x v="0"/>
    <n v="2"/>
    <n v="80"/>
    <n v="1"/>
    <n v="4"/>
    <n v="3"/>
    <n v="3"/>
    <n v="1"/>
    <n v="0"/>
    <x v="0"/>
    <n v="0"/>
  </r>
  <r>
    <n v="37"/>
    <x v="1"/>
    <s v="Travel_Rarely"/>
    <n v="674"/>
    <x v="1"/>
    <n v="13"/>
    <n v="3"/>
    <s v="Medical"/>
    <n v="1"/>
    <n v="1543"/>
    <n v="1"/>
    <x v="1"/>
    <n v="47"/>
    <n v="3"/>
    <n v="2"/>
    <s v="Research Scientist"/>
    <n v="4"/>
    <s v="Married"/>
    <x v="4"/>
    <n v="4285"/>
    <n v="3031"/>
    <n v="1"/>
    <s v="Yes"/>
    <s v="No"/>
    <n v="17"/>
    <x v="0"/>
    <n v="1"/>
    <n v="80"/>
    <n v="0"/>
    <n v="10"/>
    <n v="2"/>
    <n v="3"/>
    <n v="10"/>
    <n v="8"/>
    <x v="2"/>
    <n v="7"/>
  </r>
  <r>
    <n v="29"/>
    <x v="1"/>
    <s v="Travel_Rarely"/>
    <n v="441"/>
    <x v="1"/>
    <n v="8"/>
    <n v="1"/>
    <s v="Other"/>
    <n v="1"/>
    <n v="1544"/>
    <n v="3"/>
    <x v="0"/>
    <n v="39"/>
    <n v="1"/>
    <n v="2"/>
    <s v="Healthcare Representative"/>
    <n v="1"/>
    <s v="Married"/>
    <x v="3"/>
    <n v="9715"/>
    <n v="7288"/>
    <n v="3"/>
    <s v="Yes"/>
    <s v="No"/>
    <n v="13"/>
    <x v="0"/>
    <n v="3"/>
    <n v="80"/>
    <n v="1"/>
    <n v="9"/>
    <n v="3"/>
    <n v="3"/>
    <n v="7"/>
    <n v="7"/>
    <x v="0"/>
    <n v="7"/>
  </r>
  <r>
    <n v="33"/>
    <x v="1"/>
    <s v="Travel_Rarely"/>
    <n v="575"/>
    <x v="1"/>
    <n v="25"/>
    <n v="3"/>
    <s v="Life Sciences"/>
    <n v="1"/>
    <n v="1545"/>
    <n v="4"/>
    <x v="1"/>
    <n v="44"/>
    <n v="2"/>
    <n v="2"/>
    <s v="Manufacturing Director"/>
    <n v="2"/>
    <s v="Single"/>
    <x v="4"/>
    <n v="4320"/>
    <n v="24152"/>
    <n v="1"/>
    <s v="Yes"/>
    <s v="No"/>
    <n v="13"/>
    <x v="0"/>
    <n v="4"/>
    <n v="80"/>
    <n v="0"/>
    <n v="5"/>
    <n v="2"/>
    <n v="3"/>
    <n v="5"/>
    <n v="3"/>
    <x v="0"/>
    <n v="2"/>
  </r>
  <r>
    <n v="45"/>
    <x v="1"/>
    <s v="Travel_Rarely"/>
    <n v="950"/>
    <x v="1"/>
    <n v="28"/>
    <n v="3"/>
    <s v="Technical Degree"/>
    <n v="1"/>
    <n v="1546"/>
    <n v="4"/>
    <x v="1"/>
    <n v="97"/>
    <n v="3"/>
    <n v="1"/>
    <s v="Research Scientist"/>
    <n v="4"/>
    <s v="Married"/>
    <x v="1"/>
    <n v="2132"/>
    <n v="4585"/>
    <n v="4"/>
    <s v="Yes"/>
    <s v="No"/>
    <n v="20"/>
    <x v="1"/>
    <n v="4"/>
    <n v="80"/>
    <n v="1"/>
    <n v="8"/>
    <n v="3"/>
    <n v="3"/>
    <n v="5"/>
    <n v="4"/>
    <x v="0"/>
    <n v="3"/>
  </r>
  <r>
    <n v="42"/>
    <x v="1"/>
    <s v="Travel_Frequently"/>
    <n v="288"/>
    <x v="1"/>
    <n v="2"/>
    <n v="3"/>
    <s v="Life Sciences"/>
    <n v="1"/>
    <n v="1547"/>
    <n v="4"/>
    <x v="1"/>
    <n v="40"/>
    <n v="3"/>
    <n v="3"/>
    <s v="Healthcare Representative"/>
    <n v="4"/>
    <s v="Married"/>
    <x v="10"/>
    <n v="10124"/>
    <n v="18611"/>
    <n v="2"/>
    <s v="Yes"/>
    <s v="Yes"/>
    <n v="14"/>
    <x v="0"/>
    <n v="3"/>
    <n v="80"/>
    <n v="1"/>
    <n v="24"/>
    <n v="3"/>
    <n v="1"/>
    <n v="20"/>
    <n v="8"/>
    <x v="11"/>
    <n v="9"/>
  </r>
  <r>
    <n v="40"/>
    <x v="1"/>
    <s v="Travel_Rarely"/>
    <n v="1342"/>
    <x v="0"/>
    <n v="9"/>
    <n v="2"/>
    <s v="Medical"/>
    <n v="1"/>
    <n v="1548"/>
    <n v="1"/>
    <x v="1"/>
    <n v="47"/>
    <n v="3"/>
    <n v="2"/>
    <s v="Sales Executive"/>
    <n v="1"/>
    <s v="Married"/>
    <x v="0"/>
    <n v="5473"/>
    <n v="19345"/>
    <n v="0"/>
    <s v="Yes"/>
    <s v="No"/>
    <n v="12"/>
    <x v="0"/>
    <n v="4"/>
    <n v="80"/>
    <n v="0"/>
    <n v="9"/>
    <n v="5"/>
    <n v="4"/>
    <n v="8"/>
    <n v="4"/>
    <x v="4"/>
    <n v="1"/>
  </r>
  <r>
    <n v="33"/>
    <x v="1"/>
    <s v="Travel_Rarely"/>
    <n v="589"/>
    <x v="1"/>
    <n v="28"/>
    <n v="4"/>
    <s v="Life Sciences"/>
    <n v="1"/>
    <n v="1549"/>
    <n v="2"/>
    <x v="1"/>
    <n v="79"/>
    <n v="3"/>
    <n v="2"/>
    <s v="Laboratory Technician"/>
    <n v="3"/>
    <s v="Married"/>
    <x v="0"/>
    <n v="5207"/>
    <n v="22949"/>
    <n v="1"/>
    <s v="Yes"/>
    <s v="Yes"/>
    <n v="12"/>
    <x v="0"/>
    <n v="2"/>
    <n v="80"/>
    <n v="1"/>
    <n v="15"/>
    <n v="3"/>
    <n v="3"/>
    <n v="15"/>
    <n v="14"/>
    <x v="8"/>
    <n v="7"/>
  </r>
  <r>
    <n v="40"/>
    <x v="1"/>
    <s v="Travel_Rarely"/>
    <n v="898"/>
    <x v="2"/>
    <n v="6"/>
    <n v="2"/>
    <s v="Medical"/>
    <n v="1"/>
    <n v="1550"/>
    <n v="3"/>
    <x v="1"/>
    <n v="38"/>
    <n v="3"/>
    <n v="4"/>
    <s v="Manager"/>
    <n v="4"/>
    <s v="Single"/>
    <x v="17"/>
    <n v="16437"/>
    <n v="17381"/>
    <n v="1"/>
    <s v="Yes"/>
    <s v="Yes"/>
    <n v="21"/>
    <x v="1"/>
    <n v="4"/>
    <n v="80"/>
    <n v="0"/>
    <n v="21"/>
    <n v="2"/>
    <n v="3"/>
    <n v="21"/>
    <n v="7"/>
    <x v="4"/>
    <n v="7"/>
  </r>
  <r>
    <n v="24"/>
    <x v="1"/>
    <s v="Travel_Rarely"/>
    <n v="350"/>
    <x v="1"/>
    <n v="21"/>
    <n v="2"/>
    <s v="Technical Degree"/>
    <n v="1"/>
    <n v="1551"/>
    <n v="3"/>
    <x v="1"/>
    <n v="57"/>
    <n v="2"/>
    <n v="1"/>
    <s v="Laboratory Technician"/>
    <n v="1"/>
    <s v="Divorced"/>
    <x v="1"/>
    <n v="2296"/>
    <n v="10036"/>
    <n v="0"/>
    <s v="Yes"/>
    <s v="No"/>
    <n v="14"/>
    <x v="0"/>
    <n v="2"/>
    <n v="80"/>
    <n v="3"/>
    <n v="2"/>
    <n v="3"/>
    <n v="3"/>
    <n v="1"/>
    <n v="1"/>
    <x v="0"/>
    <n v="0"/>
  </r>
  <r>
    <n v="40"/>
    <x v="1"/>
    <s v="Non-Travel"/>
    <n v="1142"/>
    <x v="1"/>
    <n v="8"/>
    <n v="2"/>
    <s v="Life Sciences"/>
    <n v="1"/>
    <n v="1552"/>
    <n v="4"/>
    <x v="1"/>
    <n v="72"/>
    <n v="3"/>
    <n v="2"/>
    <s v="Healthcare Representative"/>
    <n v="4"/>
    <s v="Divorced"/>
    <x v="4"/>
    <n v="4069"/>
    <n v="8841"/>
    <n v="3"/>
    <s v="Yes"/>
    <s v="Yes"/>
    <n v="18"/>
    <x v="0"/>
    <n v="3"/>
    <n v="80"/>
    <n v="0"/>
    <n v="8"/>
    <n v="2"/>
    <n v="3"/>
    <n v="2"/>
    <n v="2"/>
    <x v="3"/>
    <n v="2"/>
  </r>
  <r>
    <n v="45"/>
    <x v="1"/>
    <s v="Travel_Rarely"/>
    <n v="538"/>
    <x v="1"/>
    <n v="1"/>
    <n v="4"/>
    <s v="Technical Degree"/>
    <n v="1"/>
    <n v="1553"/>
    <n v="1"/>
    <x v="1"/>
    <n v="66"/>
    <n v="3"/>
    <n v="3"/>
    <s v="Healthcare Representative"/>
    <n v="2"/>
    <s v="Divorced"/>
    <x v="14"/>
    <n v="7441"/>
    <n v="20933"/>
    <n v="1"/>
    <s v="Yes"/>
    <s v="No"/>
    <n v="12"/>
    <x v="0"/>
    <n v="1"/>
    <n v="80"/>
    <n v="3"/>
    <n v="10"/>
    <n v="4"/>
    <n v="3"/>
    <n v="10"/>
    <n v="8"/>
    <x v="4"/>
    <n v="7"/>
  </r>
  <r>
    <n v="35"/>
    <x v="1"/>
    <s v="Travel_Rarely"/>
    <n v="1402"/>
    <x v="0"/>
    <n v="28"/>
    <n v="4"/>
    <s v="Life Sciences"/>
    <n v="1"/>
    <n v="1554"/>
    <n v="2"/>
    <x v="0"/>
    <n v="98"/>
    <n v="2"/>
    <n v="1"/>
    <s v="Sales Representative"/>
    <n v="3"/>
    <s v="Married"/>
    <x v="1"/>
    <n v="2430"/>
    <n v="26204"/>
    <n v="0"/>
    <s v="Yes"/>
    <s v="No"/>
    <n v="23"/>
    <x v="1"/>
    <n v="1"/>
    <n v="80"/>
    <n v="2"/>
    <n v="6"/>
    <n v="5"/>
    <n v="3"/>
    <n v="5"/>
    <n v="3"/>
    <x v="5"/>
    <n v="2"/>
  </r>
  <r>
    <n v="32"/>
    <x v="1"/>
    <s v="Travel_Rarely"/>
    <n v="824"/>
    <x v="1"/>
    <n v="5"/>
    <n v="2"/>
    <s v="Life Sciences"/>
    <n v="1"/>
    <n v="1555"/>
    <n v="4"/>
    <x v="0"/>
    <n v="67"/>
    <n v="2"/>
    <n v="2"/>
    <s v="Research Scientist"/>
    <n v="2"/>
    <s v="Married"/>
    <x v="0"/>
    <n v="5878"/>
    <n v="15624"/>
    <n v="3"/>
    <s v="Yes"/>
    <s v="No"/>
    <n v="12"/>
    <x v="0"/>
    <n v="1"/>
    <n v="80"/>
    <n v="1"/>
    <n v="12"/>
    <n v="2"/>
    <n v="3"/>
    <n v="7"/>
    <n v="1"/>
    <x v="3"/>
    <n v="5"/>
  </r>
  <r>
    <n v="36"/>
    <x v="1"/>
    <s v="Travel_Rarely"/>
    <n v="1157"/>
    <x v="0"/>
    <n v="2"/>
    <n v="4"/>
    <s v="Life Sciences"/>
    <n v="1"/>
    <n v="1556"/>
    <n v="3"/>
    <x v="1"/>
    <n v="70"/>
    <n v="3"/>
    <n v="1"/>
    <s v="Sales Representative"/>
    <n v="4"/>
    <s v="Single"/>
    <x v="1"/>
    <n v="2644"/>
    <n v="17001"/>
    <n v="3"/>
    <s v="Yes"/>
    <s v="Yes"/>
    <n v="21"/>
    <x v="1"/>
    <n v="4"/>
    <n v="80"/>
    <n v="0"/>
    <n v="7"/>
    <n v="3"/>
    <n v="2"/>
    <n v="3"/>
    <n v="2"/>
    <x v="1"/>
    <n v="2"/>
  </r>
  <r>
    <n v="48"/>
    <x v="1"/>
    <s v="Travel_Rarely"/>
    <n v="492"/>
    <x v="0"/>
    <n v="16"/>
    <n v="4"/>
    <s v="Life Sciences"/>
    <n v="1"/>
    <n v="1557"/>
    <n v="3"/>
    <x v="0"/>
    <n v="96"/>
    <n v="3"/>
    <n v="2"/>
    <s v="Sales Executive"/>
    <n v="3"/>
    <s v="Divorced"/>
    <x v="9"/>
    <n v="6439"/>
    <n v="13693"/>
    <n v="8"/>
    <s v="Yes"/>
    <s v="No"/>
    <n v="14"/>
    <x v="0"/>
    <n v="3"/>
    <n v="80"/>
    <n v="1"/>
    <n v="18"/>
    <n v="2"/>
    <n v="3"/>
    <n v="8"/>
    <n v="7"/>
    <x v="4"/>
    <n v="7"/>
  </r>
  <r>
    <n v="29"/>
    <x v="1"/>
    <s v="Travel_Rarely"/>
    <n v="598"/>
    <x v="1"/>
    <n v="9"/>
    <n v="3"/>
    <s v="Life Sciences"/>
    <n v="1"/>
    <n v="1558"/>
    <n v="3"/>
    <x v="1"/>
    <n v="91"/>
    <n v="4"/>
    <n v="1"/>
    <s v="Research Scientist"/>
    <n v="3"/>
    <s v="Married"/>
    <x v="1"/>
    <n v="2451"/>
    <n v="22376"/>
    <n v="6"/>
    <s v="Yes"/>
    <s v="No"/>
    <n v="18"/>
    <x v="0"/>
    <n v="1"/>
    <n v="80"/>
    <n v="2"/>
    <n v="5"/>
    <n v="2"/>
    <n v="2"/>
    <n v="1"/>
    <n v="0"/>
    <x v="0"/>
    <n v="0"/>
  </r>
  <r>
    <n v="33"/>
    <x v="1"/>
    <s v="Travel_Rarely"/>
    <n v="1242"/>
    <x v="0"/>
    <n v="8"/>
    <n v="4"/>
    <s v="Life Sciences"/>
    <n v="1"/>
    <n v="1560"/>
    <n v="1"/>
    <x v="1"/>
    <n v="46"/>
    <n v="3"/>
    <n v="2"/>
    <s v="Sales Executive"/>
    <n v="1"/>
    <s v="Married"/>
    <x v="9"/>
    <n v="6392"/>
    <n v="10589"/>
    <n v="2"/>
    <s v="Yes"/>
    <s v="No"/>
    <n v="13"/>
    <x v="0"/>
    <n v="4"/>
    <n v="80"/>
    <n v="1"/>
    <n v="8"/>
    <n v="6"/>
    <n v="1"/>
    <n v="2"/>
    <n v="2"/>
    <x v="3"/>
    <n v="2"/>
  </r>
  <r>
    <n v="30"/>
    <x v="0"/>
    <s v="Travel_Rarely"/>
    <n v="740"/>
    <x v="0"/>
    <n v="1"/>
    <n v="3"/>
    <s v="Life Sciences"/>
    <n v="1"/>
    <n v="1562"/>
    <n v="2"/>
    <x v="1"/>
    <n v="64"/>
    <n v="2"/>
    <n v="2"/>
    <s v="Sales Executive"/>
    <n v="1"/>
    <s v="Married"/>
    <x v="3"/>
    <n v="9714"/>
    <n v="5323"/>
    <n v="1"/>
    <s v="Yes"/>
    <s v="No"/>
    <n v="11"/>
    <x v="0"/>
    <n v="4"/>
    <n v="80"/>
    <n v="1"/>
    <n v="10"/>
    <n v="4"/>
    <n v="3"/>
    <n v="10"/>
    <n v="8"/>
    <x v="7"/>
    <n v="7"/>
  </r>
  <r>
    <n v="38"/>
    <x v="1"/>
    <s v="Travel_Frequently"/>
    <n v="888"/>
    <x v="2"/>
    <n v="10"/>
    <n v="4"/>
    <s v="Human Resources"/>
    <n v="1"/>
    <n v="1563"/>
    <n v="3"/>
    <x v="1"/>
    <n v="71"/>
    <n v="3"/>
    <n v="2"/>
    <s v="Human Resources"/>
    <n v="3"/>
    <s v="Married"/>
    <x v="9"/>
    <n v="6077"/>
    <n v="14814"/>
    <n v="3"/>
    <s v="Yes"/>
    <s v="No"/>
    <n v="11"/>
    <x v="0"/>
    <n v="3"/>
    <n v="80"/>
    <n v="0"/>
    <n v="10"/>
    <n v="2"/>
    <n v="3"/>
    <n v="6"/>
    <n v="3"/>
    <x v="1"/>
    <n v="2"/>
  </r>
  <r>
    <n v="35"/>
    <x v="1"/>
    <s v="Travel_Rarely"/>
    <n v="992"/>
    <x v="1"/>
    <n v="1"/>
    <n v="3"/>
    <s v="Medical"/>
    <n v="1"/>
    <n v="1564"/>
    <n v="4"/>
    <x v="1"/>
    <n v="68"/>
    <n v="2"/>
    <n v="1"/>
    <s v="Laboratory Technician"/>
    <n v="1"/>
    <s v="Single"/>
    <x v="1"/>
    <n v="2450"/>
    <n v="21731"/>
    <n v="1"/>
    <s v="Yes"/>
    <s v="No"/>
    <n v="19"/>
    <x v="0"/>
    <n v="2"/>
    <n v="80"/>
    <n v="0"/>
    <n v="3"/>
    <n v="3"/>
    <n v="3"/>
    <n v="3"/>
    <n v="0"/>
    <x v="1"/>
    <n v="2"/>
  </r>
  <r>
    <n v="30"/>
    <x v="1"/>
    <s v="Travel_Rarely"/>
    <n v="1288"/>
    <x v="0"/>
    <n v="29"/>
    <n v="4"/>
    <s v="Technical Degree"/>
    <n v="1"/>
    <n v="1568"/>
    <n v="3"/>
    <x v="1"/>
    <n v="33"/>
    <n v="3"/>
    <n v="3"/>
    <s v="Sales Executive"/>
    <n v="2"/>
    <s v="Married"/>
    <x v="3"/>
    <n v="9250"/>
    <n v="17799"/>
    <n v="3"/>
    <s v="Yes"/>
    <s v="No"/>
    <n v="12"/>
    <x v="0"/>
    <n v="2"/>
    <n v="80"/>
    <n v="1"/>
    <n v="9"/>
    <n v="3"/>
    <n v="3"/>
    <n v="4"/>
    <n v="2"/>
    <x v="1"/>
    <n v="3"/>
  </r>
  <r>
    <n v="35"/>
    <x v="0"/>
    <s v="Travel_Rarely"/>
    <n v="104"/>
    <x v="1"/>
    <n v="2"/>
    <n v="3"/>
    <s v="Life Sciences"/>
    <n v="1"/>
    <n v="1569"/>
    <n v="1"/>
    <x v="0"/>
    <n v="69"/>
    <n v="3"/>
    <n v="1"/>
    <s v="Laboratory Technician"/>
    <n v="1"/>
    <s v="Divorced"/>
    <x v="1"/>
    <n v="2074"/>
    <n v="26619"/>
    <n v="1"/>
    <s v="Yes"/>
    <s v="Yes"/>
    <n v="12"/>
    <x v="0"/>
    <n v="4"/>
    <n v="80"/>
    <n v="1"/>
    <n v="1"/>
    <n v="2"/>
    <n v="3"/>
    <n v="1"/>
    <n v="0"/>
    <x v="0"/>
    <n v="0"/>
  </r>
  <r>
    <n v="53"/>
    <x v="0"/>
    <s v="Travel_Rarely"/>
    <n v="607"/>
    <x v="1"/>
    <n v="2"/>
    <n v="5"/>
    <s v="Technical Degree"/>
    <n v="1"/>
    <n v="1572"/>
    <n v="3"/>
    <x v="0"/>
    <n v="78"/>
    <n v="2"/>
    <n v="3"/>
    <s v="Manufacturing Director"/>
    <n v="4"/>
    <s v="Married"/>
    <x v="10"/>
    <n v="10169"/>
    <n v="14618"/>
    <n v="0"/>
    <s v="Yes"/>
    <s v="No"/>
    <n v="16"/>
    <x v="0"/>
    <n v="2"/>
    <n v="80"/>
    <n v="1"/>
    <n v="34"/>
    <n v="4"/>
    <n v="3"/>
    <n v="33"/>
    <n v="7"/>
    <x v="1"/>
    <n v="9"/>
  </r>
  <r>
    <n v="38"/>
    <x v="0"/>
    <s v="Travel_Rarely"/>
    <n v="903"/>
    <x v="1"/>
    <n v="2"/>
    <n v="3"/>
    <s v="Medical"/>
    <n v="1"/>
    <n v="1573"/>
    <n v="3"/>
    <x v="1"/>
    <n v="81"/>
    <n v="3"/>
    <n v="2"/>
    <s v="Manufacturing Director"/>
    <n v="2"/>
    <s v="Married"/>
    <x v="4"/>
    <n v="4855"/>
    <n v="7653"/>
    <n v="4"/>
    <s v="Yes"/>
    <s v="No"/>
    <n v="11"/>
    <x v="0"/>
    <n v="1"/>
    <n v="80"/>
    <n v="2"/>
    <n v="7"/>
    <n v="2"/>
    <n v="3"/>
    <n v="5"/>
    <n v="2"/>
    <x v="1"/>
    <n v="4"/>
  </r>
  <r>
    <n v="32"/>
    <x v="1"/>
    <s v="Non-Travel"/>
    <n v="1200"/>
    <x v="1"/>
    <n v="1"/>
    <n v="4"/>
    <s v="Technical Degree"/>
    <n v="1"/>
    <n v="1574"/>
    <n v="4"/>
    <x v="1"/>
    <n v="62"/>
    <n v="3"/>
    <n v="2"/>
    <s v="Research Scientist"/>
    <n v="1"/>
    <s v="Married"/>
    <x v="4"/>
    <n v="4087"/>
    <n v="25174"/>
    <n v="4"/>
    <s v="Yes"/>
    <s v="No"/>
    <n v="14"/>
    <x v="0"/>
    <n v="2"/>
    <n v="80"/>
    <n v="1"/>
    <n v="9"/>
    <n v="3"/>
    <n v="2"/>
    <n v="6"/>
    <n v="5"/>
    <x v="1"/>
    <n v="2"/>
  </r>
  <r>
    <n v="48"/>
    <x v="1"/>
    <s v="Travel_Rarely"/>
    <n v="1108"/>
    <x v="1"/>
    <n v="15"/>
    <n v="4"/>
    <s v="Other"/>
    <n v="1"/>
    <n v="1576"/>
    <n v="3"/>
    <x v="0"/>
    <n v="65"/>
    <n v="3"/>
    <n v="1"/>
    <s v="Research Scientist"/>
    <n v="1"/>
    <s v="Married"/>
    <x v="1"/>
    <n v="2367"/>
    <n v="16530"/>
    <n v="8"/>
    <s v="Yes"/>
    <s v="No"/>
    <n v="12"/>
    <x v="0"/>
    <n v="4"/>
    <n v="80"/>
    <n v="1"/>
    <n v="10"/>
    <n v="3"/>
    <n v="2"/>
    <n v="8"/>
    <n v="2"/>
    <x v="4"/>
    <n v="6"/>
  </r>
  <r>
    <n v="34"/>
    <x v="1"/>
    <s v="Travel_Rarely"/>
    <n v="479"/>
    <x v="1"/>
    <n v="7"/>
    <n v="4"/>
    <s v="Medical"/>
    <n v="1"/>
    <n v="1577"/>
    <n v="1"/>
    <x v="1"/>
    <n v="35"/>
    <n v="3"/>
    <n v="1"/>
    <s v="Research Scientist"/>
    <n v="4"/>
    <s v="Single"/>
    <x v="1"/>
    <n v="2972"/>
    <n v="22061"/>
    <n v="1"/>
    <s v="Yes"/>
    <s v="No"/>
    <n v="13"/>
    <x v="0"/>
    <n v="3"/>
    <n v="80"/>
    <n v="0"/>
    <n v="1"/>
    <n v="4"/>
    <n v="1"/>
    <n v="1"/>
    <n v="0"/>
    <x v="0"/>
    <n v="0"/>
  </r>
  <r>
    <n v="55"/>
    <x v="1"/>
    <s v="Travel_Rarely"/>
    <n v="685"/>
    <x v="0"/>
    <n v="26"/>
    <n v="5"/>
    <s v="Marketing"/>
    <n v="1"/>
    <n v="1578"/>
    <n v="3"/>
    <x v="1"/>
    <n v="60"/>
    <n v="2"/>
    <n v="5"/>
    <s v="Manager"/>
    <n v="4"/>
    <s v="Married"/>
    <x v="8"/>
    <n v="19586"/>
    <n v="23037"/>
    <n v="1"/>
    <s v="Yes"/>
    <s v="No"/>
    <n v="21"/>
    <x v="1"/>
    <n v="3"/>
    <n v="80"/>
    <n v="1"/>
    <n v="36"/>
    <n v="3"/>
    <n v="3"/>
    <n v="36"/>
    <n v="6"/>
    <x v="3"/>
    <n v="13"/>
  </r>
  <r>
    <n v="34"/>
    <x v="1"/>
    <s v="Travel_Rarely"/>
    <n v="1351"/>
    <x v="1"/>
    <n v="1"/>
    <n v="4"/>
    <s v="Life Sciences"/>
    <n v="1"/>
    <n v="1580"/>
    <n v="2"/>
    <x v="1"/>
    <n v="45"/>
    <n v="3"/>
    <n v="2"/>
    <s v="Research Scientist"/>
    <n v="4"/>
    <s v="Married"/>
    <x v="0"/>
    <n v="5484"/>
    <n v="13008"/>
    <n v="9"/>
    <s v="Yes"/>
    <s v="No"/>
    <n v="17"/>
    <x v="0"/>
    <n v="2"/>
    <n v="80"/>
    <n v="1"/>
    <n v="9"/>
    <n v="3"/>
    <n v="2"/>
    <n v="2"/>
    <n v="2"/>
    <x v="3"/>
    <n v="1"/>
  </r>
  <r>
    <n v="26"/>
    <x v="1"/>
    <s v="Travel_Rarely"/>
    <n v="474"/>
    <x v="1"/>
    <n v="3"/>
    <n v="3"/>
    <s v="Life Sciences"/>
    <n v="1"/>
    <n v="1581"/>
    <n v="1"/>
    <x v="0"/>
    <n v="89"/>
    <n v="3"/>
    <n v="1"/>
    <s v="Research Scientist"/>
    <n v="4"/>
    <s v="Married"/>
    <x v="1"/>
    <n v="2061"/>
    <n v="11133"/>
    <n v="1"/>
    <s v="Yes"/>
    <s v="No"/>
    <n v="21"/>
    <x v="1"/>
    <n v="1"/>
    <n v="80"/>
    <n v="0"/>
    <n v="1"/>
    <n v="5"/>
    <n v="3"/>
    <n v="1"/>
    <n v="0"/>
    <x v="0"/>
    <n v="0"/>
  </r>
  <r>
    <n v="38"/>
    <x v="1"/>
    <s v="Travel_Rarely"/>
    <n v="1245"/>
    <x v="0"/>
    <n v="14"/>
    <n v="3"/>
    <s v="Life Sciences"/>
    <n v="1"/>
    <n v="1582"/>
    <n v="3"/>
    <x v="1"/>
    <n v="80"/>
    <n v="3"/>
    <n v="2"/>
    <s v="Sales Executive"/>
    <n v="2"/>
    <s v="Married"/>
    <x v="3"/>
    <n v="9924"/>
    <n v="12355"/>
    <n v="0"/>
    <s v="Yes"/>
    <s v="No"/>
    <n v="11"/>
    <x v="0"/>
    <n v="4"/>
    <n v="80"/>
    <n v="1"/>
    <n v="10"/>
    <n v="3"/>
    <n v="3"/>
    <n v="9"/>
    <n v="8"/>
    <x v="4"/>
    <n v="7"/>
  </r>
  <r>
    <n v="38"/>
    <x v="1"/>
    <s v="Travel_Rarely"/>
    <n v="437"/>
    <x v="0"/>
    <n v="16"/>
    <n v="3"/>
    <s v="Life Sciences"/>
    <n v="1"/>
    <n v="1583"/>
    <n v="2"/>
    <x v="0"/>
    <n v="90"/>
    <n v="3"/>
    <n v="2"/>
    <s v="Sales Executive"/>
    <n v="2"/>
    <s v="Single"/>
    <x v="4"/>
    <n v="4198"/>
    <n v="16379"/>
    <n v="2"/>
    <s v="Yes"/>
    <s v="No"/>
    <n v="12"/>
    <x v="0"/>
    <n v="2"/>
    <n v="80"/>
    <n v="0"/>
    <n v="8"/>
    <n v="5"/>
    <n v="4"/>
    <n v="3"/>
    <n v="2"/>
    <x v="1"/>
    <n v="2"/>
  </r>
  <r>
    <n v="36"/>
    <x v="1"/>
    <s v="Travel_Rarely"/>
    <n v="884"/>
    <x v="0"/>
    <n v="1"/>
    <n v="4"/>
    <s v="Life Sciences"/>
    <n v="1"/>
    <n v="1585"/>
    <n v="2"/>
    <x v="0"/>
    <n v="73"/>
    <n v="3"/>
    <n v="2"/>
    <s v="Sales Executive"/>
    <n v="3"/>
    <s v="Single"/>
    <x v="9"/>
    <n v="6815"/>
    <n v="21447"/>
    <n v="6"/>
    <s v="Yes"/>
    <s v="No"/>
    <n v="13"/>
    <x v="0"/>
    <n v="1"/>
    <n v="80"/>
    <n v="0"/>
    <n v="15"/>
    <n v="5"/>
    <n v="3"/>
    <n v="1"/>
    <n v="0"/>
    <x v="0"/>
    <n v="0"/>
  </r>
  <r>
    <n v="29"/>
    <x v="1"/>
    <s v="Travel_Rarely"/>
    <n v="1370"/>
    <x v="1"/>
    <n v="3"/>
    <n v="1"/>
    <s v="Medical"/>
    <n v="1"/>
    <n v="1586"/>
    <n v="2"/>
    <x v="1"/>
    <n v="87"/>
    <n v="3"/>
    <n v="1"/>
    <s v="Laboratory Technician"/>
    <n v="1"/>
    <s v="Single"/>
    <x v="4"/>
    <n v="4723"/>
    <n v="16213"/>
    <n v="1"/>
    <s v="Yes"/>
    <s v="Yes"/>
    <n v="18"/>
    <x v="0"/>
    <n v="4"/>
    <n v="80"/>
    <n v="0"/>
    <n v="10"/>
    <n v="3"/>
    <n v="3"/>
    <n v="10"/>
    <n v="9"/>
    <x v="1"/>
    <n v="5"/>
  </r>
  <r>
    <n v="35"/>
    <x v="1"/>
    <s v="Travel_Rarely"/>
    <n v="670"/>
    <x v="1"/>
    <n v="10"/>
    <n v="4"/>
    <s v="Medical"/>
    <n v="1"/>
    <n v="1587"/>
    <n v="1"/>
    <x v="0"/>
    <n v="51"/>
    <n v="3"/>
    <n v="2"/>
    <s v="Healthcare Representative"/>
    <n v="3"/>
    <s v="Single"/>
    <x v="9"/>
    <n v="6142"/>
    <n v="4223"/>
    <n v="3"/>
    <s v="Yes"/>
    <s v="Yes"/>
    <n v="16"/>
    <x v="0"/>
    <n v="3"/>
    <n v="80"/>
    <n v="0"/>
    <n v="10"/>
    <n v="4"/>
    <n v="3"/>
    <n v="5"/>
    <n v="2"/>
    <x v="0"/>
    <n v="4"/>
  </r>
  <r>
    <n v="39"/>
    <x v="1"/>
    <s v="Travel_Rarely"/>
    <n v="1462"/>
    <x v="0"/>
    <n v="6"/>
    <n v="3"/>
    <s v="Medical"/>
    <n v="1"/>
    <n v="1588"/>
    <n v="4"/>
    <x v="1"/>
    <n v="38"/>
    <n v="4"/>
    <n v="3"/>
    <s v="Sales Executive"/>
    <n v="3"/>
    <s v="Married"/>
    <x v="12"/>
    <n v="8237"/>
    <n v="4658"/>
    <n v="2"/>
    <s v="Yes"/>
    <s v="No"/>
    <n v="11"/>
    <x v="0"/>
    <n v="1"/>
    <n v="80"/>
    <n v="1"/>
    <n v="11"/>
    <n v="3"/>
    <n v="3"/>
    <n v="7"/>
    <n v="6"/>
    <x v="4"/>
    <n v="6"/>
  </r>
  <r>
    <n v="29"/>
    <x v="1"/>
    <s v="Travel_Frequently"/>
    <n v="995"/>
    <x v="1"/>
    <n v="2"/>
    <n v="1"/>
    <s v="Life Sciences"/>
    <n v="1"/>
    <n v="1590"/>
    <n v="1"/>
    <x v="1"/>
    <n v="87"/>
    <n v="3"/>
    <n v="2"/>
    <s v="Healthcare Representative"/>
    <n v="4"/>
    <s v="Divorced"/>
    <x v="12"/>
    <n v="8853"/>
    <n v="24483"/>
    <n v="1"/>
    <s v="Yes"/>
    <s v="No"/>
    <n v="19"/>
    <x v="0"/>
    <n v="4"/>
    <n v="80"/>
    <n v="1"/>
    <n v="6"/>
    <n v="0"/>
    <n v="4"/>
    <n v="6"/>
    <n v="4"/>
    <x v="1"/>
    <n v="3"/>
  </r>
  <r>
    <n v="50"/>
    <x v="1"/>
    <s v="Travel_Rarely"/>
    <n v="264"/>
    <x v="0"/>
    <n v="9"/>
    <n v="3"/>
    <s v="Marketing"/>
    <n v="1"/>
    <n v="1591"/>
    <n v="3"/>
    <x v="1"/>
    <n v="59"/>
    <n v="3"/>
    <n v="5"/>
    <s v="Manager"/>
    <n v="3"/>
    <s v="Married"/>
    <x v="8"/>
    <n v="19331"/>
    <n v="19519"/>
    <n v="4"/>
    <s v="Yes"/>
    <s v="Yes"/>
    <n v="16"/>
    <x v="0"/>
    <n v="3"/>
    <n v="80"/>
    <n v="1"/>
    <n v="27"/>
    <n v="2"/>
    <n v="3"/>
    <n v="1"/>
    <n v="0"/>
    <x v="0"/>
    <n v="0"/>
  </r>
  <r>
    <n v="23"/>
    <x v="1"/>
    <s v="Travel_Rarely"/>
    <n v="977"/>
    <x v="1"/>
    <n v="10"/>
    <n v="3"/>
    <s v="Technical Degree"/>
    <n v="1"/>
    <n v="1592"/>
    <n v="4"/>
    <x v="1"/>
    <n v="45"/>
    <n v="4"/>
    <n v="1"/>
    <s v="Research Scientist"/>
    <n v="3"/>
    <s v="Married"/>
    <x v="1"/>
    <n v="2073"/>
    <n v="12826"/>
    <n v="2"/>
    <s v="Yes"/>
    <s v="No"/>
    <n v="16"/>
    <x v="0"/>
    <n v="4"/>
    <n v="80"/>
    <n v="1"/>
    <n v="4"/>
    <n v="2"/>
    <n v="3"/>
    <n v="2"/>
    <n v="2"/>
    <x v="3"/>
    <n v="2"/>
  </r>
  <r>
    <n v="36"/>
    <x v="1"/>
    <s v="Travel_Frequently"/>
    <n v="1302"/>
    <x v="1"/>
    <n v="6"/>
    <n v="4"/>
    <s v="Life Sciences"/>
    <n v="1"/>
    <n v="1594"/>
    <n v="1"/>
    <x v="1"/>
    <n v="80"/>
    <n v="4"/>
    <n v="2"/>
    <s v="Laboratory Technician"/>
    <n v="1"/>
    <s v="Married"/>
    <x v="0"/>
    <n v="5562"/>
    <n v="19711"/>
    <n v="3"/>
    <s v="Yes"/>
    <s v="Yes"/>
    <n v="13"/>
    <x v="0"/>
    <n v="4"/>
    <n v="80"/>
    <n v="1"/>
    <n v="9"/>
    <n v="3"/>
    <n v="3"/>
    <n v="3"/>
    <n v="2"/>
    <x v="0"/>
    <n v="2"/>
  </r>
  <r>
    <n v="42"/>
    <x v="1"/>
    <s v="Travel_Rarely"/>
    <n v="1059"/>
    <x v="1"/>
    <n v="9"/>
    <n v="2"/>
    <s v="Other"/>
    <n v="1"/>
    <n v="1595"/>
    <n v="4"/>
    <x v="1"/>
    <n v="93"/>
    <n v="2"/>
    <n v="5"/>
    <s v="Manager"/>
    <n v="4"/>
    <s v="Single"/>
    <x v="8"/>
    <n v="19613"/>
    <n v="26362"/>
    <n v="8"/>
    <s v="Yes"/>
    <s v="No"/>
    <n v="22"/>
    <x v="1"/>
    <n v="4"/>
    <n v="80"/>
    <n v="0"/>
    <n v="24"/>
    <n v="2"/>
    <n v="3"/>
    <n v="1"/>
    <n v="0"/>
    <x v="0"/>
    <n v="1"/>
  </r>
  <r>
    <n v="35"/>
    <x v="1"/>
    <s v="Travel_Rarely"/>
    <n v="750"/>
    <x v="1"/>
    <n v="28"/>
    <n v="3"/>
    <s v="Life Sciences"/>
    <n v="1"/>
    <n v="1596"/>
    <n v="2"/>
    <x v="1"/>
    <n v="46"/>
    <n v="4"/>
    <n v="2"/>
    <s v="Laboratory Technician"/>
    <n v="3"/>
    <s v="Married"/>
    <x v="2"/>
    <n v="3407"/>
    <n v="25348"/>
    <n v="1"/>
    <s v="Yes"/>
    <s v="No"/>
    <n v="17"/>
    <x v="0"/>
    <n v="4"/>
    <n v="80"/>
    <n v="2"/>
    <n v="10"/>
    <n v="3"/>
    <n v="2"/>
    <n v="10"/>
    <n v="9"/>
    <x v="7"/>
    <n v="8"/>
  </r>
  <r>
    <n v="34"/>
    <x v="1"/>
    <s v="Travel_Frequently"/>
    <n v="653"/>
    <x v="1"/>
    <n v="10"/>
    <n v="4"/>
    <s v="Technical Degree"/>
    <n v="1"/>
    <n v="1597"/>
    <n v="4"/>
    <x v="1"/>
    <n v="92"/>
    <n v="2"/>
    <n v="2"/>
    <s v="Healthcare Representative"/>
    <n v="3"/>
    <s v="Married"/>
    <x v="0"/>
    <n v="5063"/>
    <n v="15332"/>
    <n v="1"/>
    <s v="Yes"/>
    <s v="No"/>
    <n v="14"/>
    <x v="0"/>
    <n v="2"/>
    <n v="80"/>
    <n v="1"/>
    <n v="8"/>
    <n v="3"/>
    <n v="2"/>
    <n v="8"/>
    <n v="2"/>
    <x v="4"/>
    <n v="7"/>
  </r>
  <r>
    <n v="40"/>
    <x v="1"/>
    <s v="Travel_Rarely"/>
    <n v="118"/>
    <x v="0"/>
    <n v="14"/>
    <n v="2"/>
    <s v="Life Sciences"/>
    <n v="1"/>
    <n v="1598"/>
    <n v="4"/>
    <x v="0"/>
    <n v="84"/>
    <n v="3"/>
    <n v="2"/>
    <s v="Sales Executive"/>
    <n v="1"/>
    <s v="Married"/>
    <x v="4"/>
    <n v="4639"/>
    <n v="11262"/>
    <n v="1"/>
    <s v="Yes"/>
    <s v="No"/>
    <n v="15"/>
    <x v="0"/>
    <n v="3"/>
    <n v="80"/>
    <n v="1"/>
    <n v="5"/>
    <n v="2"/>
    <n v="3"/>
    <n v="5"/>
    <n v="4"/>
    <x v="1"/>
    <n v="2"/>
  </r>
  <r>
    <n v="43"/>
    <x v="1"/>
    <s v="Travel_Rarely"/>
    <n v="990"/>
    <x v="1"/>
    <n v="27"/>
    <n v="3"/>
    <s v="Technical Degree"/>
    <n v="1"/>
    <n v="1599"/>
    <n v="4"/>
    <x v="1"/>
    <n v="87"/>
    <n v="4"/>
    <n v="1"/>
    <s v="Laboratory Technician"/>
    <n v="2"/>
    <s v="Divorced"/>
    <x v="4"/>
    <n v="4876"/>
    <n v="5855"/>
    <n v="5"/>
    <s v="Yes"/>
    <s v="No"/>
    <n v="12"/>
    <x v="0"/>
    <n v="3"/>
    <n v="80"/>
    <n v="1"/>
    <n v="8"/>
    <n v="0"/>
    <n v="3"/>
    <n v="6"/>
    <n v="4"/>
    <x v="0"/>
    <n v="2"/>
  </r>
  <r>
    <n v="35"/>
    <x v="1"/>
    <s v="Travel_Rarely"/>
    <n v="1349"/>
    <x v="1"/>
    <n v="7"/>
    <n v="2"/>
    <s v="Life Sciences"/>
    <n v="1"/>
    <n v="1601"/>
    <n v="3"/>
    <x v="1"/>
    <n v="63"/>
    <n v="2"/>
    <n v="1"/>
    <s v="Laboratory Technician"/>
    <n v="4"/>
    <s v="Married"/>
    <x v="1"/>
    <n v="2690"/>
    <n v="7713"/>
    <n v="1"/>
    <s v="Yes"/>
    <s v="No"/>
    <n v="18"/>
    <x v="0"/>
    <n v="4"/>
    <n v="80"/>
    <n v="1"/>
    <n v="1"/>
    <n v="5"/>
    <n v="2"/>
    <n v="1"/>
    <n v="0"/>
    <x v="0"/>
    <n v="1"/>
  </r>
  <r>
    <n v="46"/>
    <x v="1"/>
    <s v="Travel_Rarely"/>
    <n v="563"/>
    <x v="0"/>
    <n v="1"/>
    <n v="4"/>
    <s v="Life Sciences"/>
    <n v="1"/>
    <n v="1602"/>
    <n v="4"/>
    <x v="1"/>
    <n v="56"/>
    <n v="4"/>
    <n v="4"/>
    <s v="Manager"/>
    <n v="1"/>
    <s v="Single"/>
    <x v="16"/>
    <n v="17567"/>
    <n v="3156"/>
    <n v="1"/>
    <s v="Yes"/>
    <s v="No"/>
    <n v="15"/>
    <x v="0"/>
    <n v="2"/>
    <n v="80"/>
    <n v="0"/>
    <n v="27"/>
    <n v="5"/>
    <n v="1"/>
    <n v="26"/>
    <n v="0"/>
    <x v="0"/>
    <n v="12"/>
  </r>
  <r>
    <n v="28"/>
    <x v="0"/>
    <s v="Travel_Rarely"/>
    <n v="329"/>
    <x v="1"/>
    <n v="24"/>
    <n v="3"/>
    <s v="Medical"/>
    <n v="1"/>
    <n v="1604"/>
    <n v="3"/>
    <x v="1"/>
    <n v="51"/>
    <n v="3"/>
    <n v="1"/>
    <s v="Laboratory Technician"/>
    <n v="2"/>
    <s v="Married"/>
    <x v="1"/>
    <n v="2408"/>
    <n v="7324"/>
    <n v="1"/>
    <s v="Yes"/>
    <s v="Yes"/>
    <n v="17"/>
    <x v="0"/>
    <n v="3"/>
    <n v="80"/>
    <n v="3"/>
    <n v="1"/>
    <n v="3"/>
    <n v="3"/>
    <n v="1"/>
    <n v="1"/>
    <x v="0"/>
    <n v="0"/>
  </r>
  <r>
    <n v="22"/>
    <x v="1"/>
    <s v="Non-Travel"/>
    <n v="457"/>
    <x v="1"/>
    <n v="26"/>
    <n v="2"/>
    <s v="Other"/>
    <n v="1"/>
    <n v="1605"/>
    <n v="2"/>
    <x v="0"/>
    <n v="85"/>
    <n v="2"/>
    <n v="1"/>
    <s v="Research Scientist"/>
    <n v="3"/>
    <s v="Married"/>
    <x v="1"/>
    <n v="2814"/>
    <n v="10293"/>
    <n v="1"/>
    <s v="Yes"/>
    <s v="Yes"/>
    <n v="14"/>
    <x v="0"/>
    <n v="2"/>
    <n v="80"/>
    <n v="0"/>
    <n v="4"/>
    <n v="2"/>
    <n v="2"/>
    <n v="4"/>
    <n v="2"/>
    <x v="1"/>
    <n v="3"/>
  </r>
  <r>
    <n v="50"/>
    <x v="1"/>
    <s v="Travel_Frequently"/>
    <n v="1234"/>
    <x v="1"/>
    <n v="20"/>
    <n v="5"/>
    <s v="Medical"/>
    <n v="1"/>
    <n v="1606"/>
    <n v="2"/>
    <x v="1"/>
    <n v="41"/>
    <n v="3"/>
    <n v="4"/>
    <s v="Healthcare Representative"/>
    <n v="3"/>
    <s v="Married"/>
    <x v="6"/>
    <n v="11245"/>
    <n v="20689"/>
    <n v="2"/>
    <s v="Yes"/>
    <s v="Yes"/>
    <n v="15"/>
    <x v="0"/>
    <n v="3"/>
    <n v="80"/>
    <n v="1"/>
    <n v="32"/>
    <n v="3"/>
    <n v="3"/>
    <n v="30"/>
    <n v="8"/>
    <x v="12"/>
    <n v="13"/>
  </r>
  <r>
    <n v="32"/>
    <x v="1"/>
    <s v="Travel_Rarely"/>
    <n v="634"/>
    <x v="1"/>
    <n v="5"/>
    <n v="4"/>
    <s v="Other"/>
    <n v="1"/>
    <n v="1607"/>
    <n v="2"/>
    <x v="0"/>
    <n v="35"/>
    <n v="4"/>
    <n v="1"/>
    <s v="Research Scientist"/>
    <n v="4"/>
    <s v="Married"/>
    <x v="2"/>
    <n v="3312"/>
    <n v="18783"/>
    <n v="3"/>
    <s v="Yes"/>
    <s v="No"/>
    <n v="17"/>
    <x v="0"/>
    <n v="4"/>
    <n v="80"/>
    <n v="2"/>
    <n v="6"/>
    <n v="3"/>
    <n v="3"/>
    <n v="3"/>
    <n v="2"/>
    <x v="0"/>
    <n v="2"/>
  </r>
  <r>
    <n v="44"/>
    <x v="1"/>
    <s v="Travel_Rarely"/>
    <n v="1313"/>
    <x v="1"/>
    <n v="7"/>
    <n v="3"/>
    <s v="Medical"/>
    <n v="1"/>
    <n v="1608"/>
    <n v="2"/>
    <x v="0"/>
    <n v="31"/>
    <n v="3"/>
    <n v="5"/>
    <s v="Research Director"/>
    <n v="4"/>
    <s v="Divorced"/>
    <x v="8"/>
    <n v="19049"/>
    <n v="3549"/>
    <n v="0"/>
    <s v="Yes"/>
    <s v="Yes"/>
    <n v="14"/>
    <x v="0"/>
    <n v="4"/>
    <n v="80"/>
    <n v="1"/>
    <n v="23"/>
    <n v="4"/>
    <n v="2"/>
    <n v="22"/>
    <n v="7"/>
    <x v="1"/>
    <n v="10"/>
  </r>
  <r>
    <n v="30"/>
    <x v="1"/>
    <s v="Travel_Rarely"/>
    <n v="241"/>
    <x v="1"/>
    <n v="7"/>
    <n v="3"/>
    <s v="Medical"/>
    <n v="1"/>
    <n v="1609"/>
    <n v="2"/>
    <x v="1"/>
    <n v="48"/>
    <n v="2"/>
    <n v="1"/>
    <s v="Research Scientist"/>
    <n v="2"/>
    <s v="Married"/>
    <x v="1"/>
    <n v="2141"/>
    <n v="5348"/>
    <n v="1"/>
    <s v="Yes"/>
    <s v="No"/>
    <n v="12"/>
    <x v="0"/>
    <n v="2"/>
    <n v="80"/>
    <n v="1"/>
    <n v="6"/>
    <n v="3"/>
    <n v="2"/>
    <n v="6"/>
    <n v="4"/>
    <x v="1"/>
    <n v="1"/>
  </r>
  <r>
    <n v="45"/>
    <x v="1"/>
    <s v="Travel_Rarely"/>
    <n v="1015"/>
    <x v="1"/>
    <n v="5"/>
    <n v="5"/>
    <s v="Medical"/>
    <n v="1"/>
    <n v="1611"/>
    <n v="3"/>
    <x v="0"/>
    <n v="50"/>
    <n v="1"/>
    <n v="2"/>
    <s v="Laboratory Technician"/>
    <n v="1"/>
    <s v="Single"/>
    <x v="0"/>
    <n v="5769"/>
    <n v="23447"/>
    <n v="1"/>
    <s v="Yes"/>
    <s v="Yes"/>
    <n v="14"/>
    <x v="0"/>
    <n v="1"/>
    <n v="80"/>
    <n v="0"/>
    <n v="10"/>
    <n v="3"/>
    <n v="3"/>
    <n v="10"/>
    <n v="7"/>
    <x v="1"/>
    <n v="4"/>
  </r>
  <r>
    <n v="45"/>
    <x v="1"/>
    <s v="Non-Travel"/>
    <n v="336"/>
    <x v="0"/>
    <n v="26"/>
    <n v="3"/>
    <s v="Marketing"/>
    <n v="1"/>
    <n v="1612"/>
    <n v="1"/>
    <x v="1"/>
    <n v="52"/>
    <n v="2"/>
    <n v="2"/>
    <s v="Sales Executive"/>
    <n v="1"/>
    <s v="Married"/>
    <x v="4"/>
    <n v="4385"/>
    <n v="24162"/>
    <n v="1"/>
    <s v="Yes"/>
    <s v="No"/>
    <n v="15"/>
    <x v="0"/>
    <n v="1"/>
    <n v="80"/>
    <n v="1"/>
    <n v="10"/>
    <n v="2"/>
    <n v="3"/>
    <n v="10"/>
    <n v="7"/>
    <x v="5"/>
    <n v="5"/>
  </r>
  <r>
    <n v="31"/>
    <x v="1"/>
    <s v="Travel_Frequently"/>
    <n v="715"/>
    <x v="0"/>
    <n v="2"/>
    <n v="4"/>
    <s v="Other"/>
    <n v="1"/>
    <n v="1613"/>
    <n v="4"/>
    <x v="1"/>
    <n v="54"/>
    <n v="3"/>
    <n v="2"/>
    <s v="Sales Executive"/>
    <n v="1"/>
    <s v="Single"/>
    <x v="0"/>
    <n v="5332"/>
    <n v="21602"/>
    <n v="7"/>
    <s v="Yes"/>
    <s v="No"/>
    <n v="13"/>
    <x v="0"/>
    <n v="4"/>
    <n v="80"/>
    <n v="0"/>
    <n v="10"/>
    <n v="3"/>
    <n v="3"/>
    <n v="5"/>
    <n v="2"/>
    <x v="0"/>
    <n v="3"/>
  </r>
  <r>
    <n v="36"/>
    <x v="1"/>
    <s v="Travel_Rarely"/>
    <n v="559"/>
    <x v="1"/>
    <n v="12"/>
    <n v="4"/>
    <s v="Life Sciences"/>
    <n v="1"/>
    <n v="1614"/>
    <n v="3"/>
    <x v="0"/>
    <n v="76"/>
    <n v="3"/>
    <n v="2"/>
    <s v="Manufacturing Director"/>
    <n v="3"/>
    <s v="Married"/>
    <x v="4"/>
    <n v="4663"/>
    <n v="12421"/>
    <n v="9"/>
    <s v="Yes"/>
    <s v="Yes"/>
    <n v="12"/>
    <x v="0"/>
    <n v="2"/>
    <n v="80"/>
    <n v="2"/>
    <n v="7"/>
    <n v="2"/>
    <n v="3"/>
    <n v="3"/>
    <n v="2"/>
    <x v="1"/>
    <n v="1"/>
  </r>
  <r>
    <n v="34"/>
    <x v="1"/>
    <s v="Travel_Frequently"/>
    <n v="426"/>
    <x v="1"/>
    <n v="10"/>
    <n v="4"/>
    <s v="Life Sciences"/>
    <n v="1"/>
    <n v="1615"/>
    <n v="3"/>
    <x v="1"/>
    <n v="42"/>
    <n v="4"/>
    <n v="2"/>
    <s v="Manufacturing Director"/>
    <n v="4"/>
    <s v="Divorced"/>
    <x v="4"/>
    <n v="4724"/>
    <n v="17000"/>
    <n v="1"/>
    <s v="Yes"/>
    <s v="No"/>
    <n v="13"/>
    <x v="0"/>
    <n v="1"/>
    <n v="80"/>
    <n v="1"/>
    <n v="9"/>
    <n v="3"/>
    <n v="3"/>
    <n v="9"/>
    <n v="7"/>
    <x v="4"/>
    <n v="2"/>
  </r>
  <r>
    <n v="49"/>
    <x v="1"/>
    <s v="Travel_Rarely"/>
    <n v="722"/>
    <x v="1"/>
    <n v="25"/>
    <n v="4"/>
    <s v="Life Sciences"/>
    <n v="1"/>
    <n v="1617"/>
    <n v="3"/>
    <x v="0"/>
    <n v="84"/>
    <n v="3"/>
    <n v="1"/>
    <s v="Laboratory Technician"/>
    <n v="1"/>
    <s v="Married"/>
    <x v="2"/>
    <n v="3211"/>
    <n v="22102"/>
    <n v="1"/>
    <s v="Yes"/>
    <s v="No"/>
    <n v="14"/>
    <x v="0"/>
    <n v="4"/>
    <n v="80"/>
    <n v="1"/>
    <n v="10"/>
    <n v="3"/>
    <n v="2"/>
    <n v="9"/>
    <n v="6"/>
    <x v="1"/>
    <n v="4"/>
  </r>
  <r>
    <n v="39"/>
    <x v="1"/>
    <s v="Travel_Rarely"/>
    <n v="1387"/>
    <x v="1"/>
    <n v="10"/>
    <n v="5"/>
    <s v="Medical"/>
    <n v="1"/>
    <n v="1618"/>
    <n v="2"/>
    <x v="1"/>
    <n v="76"/>
    <n v="3"/>
    <n v="2"/>
    <s v="Manufacturing Director"/>
    <n v="1"/>
    <s v="Married"/>
    <x v="0"/>
    <n v="5377"/>
    <n v="3835"/>
    <n v="2"/>
    <s v="Yes"/>
    <s v="No"/>
    <n v="13"/>
    <x v="0"/>
    <n v="4"/>
    <n v="80"/>
    <n v="3"/>
    <n v="10"/>
    <n v="3"/>
    <n v="3"/>
    <n v="7"/>
    <n v="7"/>
    <x v="4"/>
    <n v="7"/>
  </r>
  <r>
    <n v="27"/>
    <x v="1"/>
    <s v="Travel_Rarely"/>
    <n v="1302"/>
    <x v="1"/>
    <n v="19"/>
    <n v="3"/>
    <s v="Other"/>
    <n v="1"/>
    <n v="1619"/>
    <n v="4"/>
    <x v="1"/>
    <n v="67"/>
    <n v="2"/>
    <n v="1"/>
    <s v="Laboratory Technician"/>
    <n v="1"/>
    <s v="Divorced"/>
    <x v="4"/>
    <n v="4066"/>
    <n v="16290"/>
    <n v="1"/>
    <s v="Yes"/>
    <s v="No"/>
    <n v="11"/>
    <x v="0"/>
    <n v="1"/>
    <n v="80"/>
    <n v="2"/>
    <n v="7"/>
    <n v="3"/>
    <n v="3"/>
    <n v="7"/>
    <n v="7"/>
    <x v="0"/>
    <n v="7"/>
  </r>
  <r>
    <n v="35"/>
    <x v="1"/>
    <s v="Travel_Rarely"/>
    <n v="819"/>
    <x v="1"/>
    <n v="18"/>
    <n v="5"/>
    <s v="Life Sciences"/>
    <n v="1"/>
    <n v="1621"/>
    <n v="2"/>
    <x v="1"/>
    <n v="48"/>
    <n v="4"/>
    <n v="2"/>
    <s v="Research Scientist"/>
    <n v="1"/>
    <s v="Married"/>
    <x v="0"/>
    <n v="5208"/>
    <n v="26312"/>
    <n v="1"/>
    <s v="Yes"/>
    <s v="No"/>
    <n v="11"/>
    <x v="0"/>
    <n v="4"/>
    <n v="80"/>
    <n v="0"/>
    <n v="16"/>
    <n v="2"/>
    <n v="3"/>
    <n v="16"/>
    <n v="15"/>
    <x v="1"/>
    <n v="10"/>
  </r>
  <r>
    <n v="28"/>
    <x v="1"/>
    <s v="Travel_Rarely"/>
    <n v="580"/>
    <x v="1"/>
    <n v="27"/>
    <n v="3"/>
    <s v="Medical"/>
    <n v="1"/>
    <n v="1622"/>
    <n v="2"/>
    <x v="0"/>
    <n v="39"/>
    <n v="1"/>
    <n v="2"/>
    <s v="Manufacturing Director"/>
    <n v="1"/>
    <s v="Divorced"/>
    <x v="4"/>
    <n v="4877"/>
    <n v="20460"/>
    <n v="0"/>
    <s v="Yes"/>
    <s v="No"/>
    <n v="21"/>
    <x v="1"/>
    <n v="2"/>
    <n v="80"/>
    <n v="1"/>
    <n v="6"/>
    <n v="5"/>
    <n v="2"/>
    <n v="5"/>
    <n v="3"/>
    <x v="0"/>
    <n v="0"/>
  </r>
  <r>
    <n v="21"/>
    <x v="1"/>
    <s v="Travel_Rarely"/>
    <n v="546"/>
    <x v="1"/>
    <n v="5"/>
    <n v="1"/>
    <s v="Medical"/>
    <n v="1"/>
    <n v="1623"/>
    <n v="3"/>
    <x v="1"/>
    <n v="97"/>
    <n v="3"/>
    <n v="1"/>
    <s v="Research Scientist"/>
    <n v="4"/>
    <s v="Single"/>
    <x v="2"/>
    <n v="3117"/>
    <n v="26009"/>
    <n v="1"/>
    <s v="Yes"/>
    <s v="No"/>
    <n v="18"/>
    <x v="0"/>
    <n v="3"/>
    <n v="80"/>
    <n v="0"/>
    <n v="3"/>
    <n v="2"/>
    <n v="3"/>
    <n v="2"/>
    <n v="2"/>
    <x v="3"/>
    <n v="2"/>
  </r>
  <r>
    <n v="18"/>
    <x v="0"/>
    <s v="Travel_Frequently"/>
    <n v="544"/>
    <x v="0"/>
    <n v="3"/>
    <n v="2"/>
    <s v="Medical"/>
    <n v="1"/>
    <n v="1624"/>
    <n v="2"/>
    <x v="0"/>
    <n v="70"/>
    <n v="3"/>
    <n v="1"/>
    <s v="Sales Representative"/>
    <n v="4"/>
    <s v="Single"/>
    <x v="7"/>
    <n v="1569"/>
    <n v="18420"/>
    <n v="1"/>
    <s v="Yes"/>
    <s v="Yes"/>
    <n v="12"/>
    <x v="0"/>
    <n v="3"/>
    <n v="80"/>
    <n v="0"/>
    <n v="0"/>
    <n v="2"/>
    <n v="4"/>
    <n v="0"/>
    <n v="0"/>
    <x v="0"/>
    <n v="0"/>
  </r>
  <r>
    <n v="47"/>
    <x v="1"/>
    <s v="Travel_Rarely"/>
    <n v="1176"/>
    <x v="2"/>
    <n v="26"/>
    <n v="4"/>
    <s v="Life Sciences"/>
    <n v="1"/>
    <n v="1625"/>
    <n v="4"/>
    <x v="0"/>
    <n v="98"/>
    <n v="3"/>
    <n v="5"/>
    <s v="Manager"/>
    <n v="3"/>
    <s v="Married"/>
    <x v="8"/>
    <n v="19658"/>
    <n v="5220"/>
    <n v="3"/>
    <s v="Yes"/>
    <s v="No"/>
    <n v="11"/>
    <x v="0"/>
    <n v="3"/>
    <n v="80"/>
    <n v="1"/>
    <n v="27"/>
    <n v="2"/>
    <n v="3"/>
    <n v="5"/>
    <n v="2"/>
    <x v="1"/>
    <n v="0"/>
  </r>
  <r>
    <n v="39"/>
    <x v="1"/>
    <s v="Travel_Rarely"/>
    <n v="170"/>
    <x v="1"/>
    <n v="3"/>
    <n v="2"/>
    <s v="Medical"/>
    <n v="1"/>
    <n v="1627"/>
    <n v="3"/>
    <x v="1"/>
    <n v="76"/>
    <n v="2"/>
    <n v="2"/>
    <s v="Laboratory Technician"/>
    <n v="3"/>
    <s v="Divorced"/>
    <x v="2"/>
    <n v="3069"/>
    <n v="10302"/>
    <n v="0"/>
    <s v="Yes"/>
    <s v="No"/>
    <n v="15"/>
    <x v="0"/>
    <n v="4"/>
    <n v="80"/>
    <n v="1"/>
    <n v="11"/>
    <n v="3"/>
    <n v="3"/>
    <n v="10"/>
    <n v="8"/>
    <x v="0"/>
    <n v="7"/>
  </r>
  <r>
    <n v="40"/>
    <x v="1"/>
    <s v="Travel_Rarely"/>
    <n v="884"/>
    <x v="1"/>
    <n v="15"/>
    <n v="3"/>
    <s v="Life Sciences"/>
    <n v="1"/>
    <n v="1628"/>
    <n v="1"/>
    <x v="0"/>
    <n v="80"/>
    <n v="2"/>
    <n v="3"/>
    <s v="Manufacturing Director"/>
    <n v="3"/>
    <s v="Married"/>
    <x v="10"/>
    <n v="10435"/>
    <n v="25800"/>
    <n v="1"/>
    <s v="Yes"/>
    <s v="No"/>
    <n v="13"/>
    <x v="0"/>
    <n v="4"/>
    <n v="80"/>
    <n v="2"/>
    <n v="18"/>
    <n v="2"/>
    <n v="3"/>
    <n v="18"/>
    <n v="15"/>
    <x v="15"/>
    <n v="12"/>
  </r>
  <r>
    <n v="35"/>
    <x v="1"/>
    <s v="Non-Travel"/>
    <n v="208"/>
    <x v="1"/>
    <n v="8"/>
    <n v="4"/>
    <s v="Life Sciences"/>
    <n v="1"/>
    <n v="1630"/>
    <n v="3"/>
    <x v="0"/>
    <n v="52"/>
    <n v="3"/>
    <n v="2"/>
    <s v="Healthcare Representative"/>
    <n v="3"/>
    <s v="Married"/>
    <x v="4"/>
    <n v="4148"/>
    <n v="12250"/>
    <n v="1"/>
    <s v="Yes"/>
    <s v="No"/>
    <n v="12"/>
    <x v="0"/>
    <n v="4"/>
    <n v="80"/>
    <n v="1"/>
    <n v="15"/>
    <n v="5"/>
    <n v="3"/>
    <n v="14"/>
    <n v="11"/>
    <x v="3"/>
    <n v="9"/>
  </r>
  <r>
    <n v="37"/>
    <x v="1"/>
    <s v="Travel_Rarely"/>
    <n v="671"/>
    <x v="1"/>
    <n v="19"/>
    <n v="3"/>
    <s v="Life Sciences"/>
    <n v="1"/>
    <n v="1631"/>
    <n v="3"/>
    <x v="1"/>
    <n v="85"/>
    <n v="3"/>
    <n v="2"/>
    <s v="Manufacturing Director"/>
    <n v="3"/>
    <s v="Married"/>
    <x v="0"/>
    <n v="5768"/>
    <n v="26493"/>
    <n v="3"/>
    <s v="Yes"/>
    <s v="No"/>
    <n v="17"/>
    <x v="0"/>
    <n v="1"/>
    <n v="80"/>
    <n v="3"/>
    <n v="9"/>
    <n v="2"/>
    <n v="2"/>
    <n v="4"/>
    <n v="3"/>
    <x v="0"/>
    <n v="2"/>
  </r>
  <r>
    <n v="39"/>
    <x v="1"/>
    <s v="Travel_Frequently"/>
    <n v="711"/>
    <x v="1"/>
    <n v="4"/>
    <n v="3"/>
    <s v="Medical"/>
    <n v="1"/>
    <n v="1633"/>
    <n v="1"/>
    <x v="0"/>
    <n v="81"/>
    <n v="3"/>
    <n v="2"/>
    <s v="Manufacturing Director"/>
    <n v="3"/>
    <s v="Single"/>
    <x v="0"/>
    <n v="5042"/>
    <n v="3140"/>
    <n v="0"/>
    <s v="Yes"/>
    <s v="No"/>
    <n v="13"/>
    <x v="0"/>
    <n v="4"/>
    <n v="80"/>
    <n v="0"/>
    <n v="10"/>
    <n v="2"/>
    <n v="1"/>
    <n v="9"/>
    <n v="2"/>
    <x v="2"/>
    <n v="8"/>
  </r>
  <r>
    <n v="45"/>
    <x v="1"/>
    <s v="Travel_Rarely"/>
    <n v="1329"/>
    <x v="1"/>
    <n v="2"/>
    <n v="2"/>
    <s v="Other"/>
    <n v="1"/>
    <n v="1635"/>
    <n v="4"/>
    <x v="0"/>
    <n v="59"/>
    <n v="2"/>
    <n v="2"/>
    <s v="Manufacturing Director"/>
    <n v="4"/>
    <s v="Divorced"/>
    <x v="0"/>
    <n v="5770"/>
    <n v="5388"/>
    <n v="1"/>
    <s v="Yes"/>
    <s v="No"/>
    <n v="19"/>
    <x v="0"/>
    <n v="1"/>
    <n v="80"/>
    <n v="2"/>
    <n v="10"/>
    <n v="3"/>
    <n v="3"/>
    <n v="10"/>
    <n v="7"/>
    <x v="2"/>
    <n v="9"/>
  </r>
  <r>
    <n v="38"/>
    <x v="1"/>
    <s v="Travel_Rarely"/>
    <n v="397"/>
    <x v="1"/>
    <n v="2"/>
    <n v="2"/>
    <s v="Medical"/>
    <n v="1"/>
    <n v="1638"/>
    <n v="4"/>
    <x v="0"/>
    <n v="54"/>
    <n v="2"/>
    <n v="3"/>
    <s v="Manufacturing Director"/>
    <n v="3"/>
    <s v="Married"/>
    <x v="14"/>
    <n v="7756"/>
    <n v="14199"/>
    <n v="3"/>
    <s v="Yes"/>
    <s v="Yes"/>
    <n v="19"/>
    <x v="0"/>
    <n v="4"/>
    <n v="80"/>
    <n v="1"/>
    <n v="10"/>
    <n v="6"/>
    <n v="4"/>
    <n v="5"/>
    <n v="4"/>
    <x v="0"/>
    <n v="2"/>
  </r>
  <r>
    <n v="35"/>
    <x v="0"/>
    <s v="Travel_Rarely"/>
    <n v="737"/>
    <x v="0"/>
    <n v="10"/>
    <n v="3"/>
    <s v="Medical"/>
    <n v="1"/>
    <n v="1639"/>
    <n v="4"/>
    <x v="1"/>
    <n v="55"/>
    <n v="2"/>
    <n v="3"/>
    <s v="Sales Executive"/>
    <n v="1"/>
    <s v="Married"/>
    <x v="10"/>
    <n v="10306"/>
    <n v="21530"/>
    <n v="9"/>
    <s v="Yes"/>
    <s v="No"/>
    <n v="17"/>
    <x v="0"/>
    <n v="3"/>
    <n v="80"/>
    <n v="0"/>
    <n v="15"/>
    <n v="3"/>
    <n v="3"/>
    <n v="13"/>
    <n v="12"/>
    <x v="7"/>
    <n v="0"/>
  </r>
  <r>
    <n v="37"/>
    <x v="1"/>
    <s v="Travel_Rarely"/>
    <n v="1470"/>
    <x v="1"/>
    <n v="10"/>
    <n v="3"/>
    <s v="Medical"/>
    <n v="1"/>
    <n v="1640"/>
    <n v="2"/>
    <x v="0"/>
    <n v="71"/>
    <n v="3"/>
    <n v="1"/>
    <s v="Research Scientist"/>
    <n v="2"/>
    <s v="Married"/>
    <x v="2"/>
    <n v="3936"/>
    <n v="9953"/>
    <n v="1"/>
    <s v="Yes"/>
    <s v="No"/>
    <n v="11"/>
    <x v="0"/>
    <n v="1"/>
    <n v="80"/>
    <n v="1"/>
    <n v="8"/>
    <n v="2"/>
    <n v="1"/>
    <n v="8"/>
    <n v="4"/>
    <x v="4"/>
    <n v="7"/>
  </r>
  <r>
    <n v="40"/>
    <x v="1"/>
    <s v="Travel_Rarely"/>
    <n v="448"/>
    <x v="1"/>
    <n v="16"/>
    <n v="3"/>
    <s v="Life Sciences"/>
    <n v="1"/>
    <n v="1641"/>
    <n v="3"/>
    <x v="0"/>
    <n v="84"/>
    <n v="3"/>
    <n v="3"/>
    <s v="Manufacturing Director"/>
    <n v="4"/>
    <s v="Single"/>
    <x v="14"/>
    <n v="7945"/>
    <n v="19948"/>
    <n v="6"/>
    <s v="Yes"/>
    <s v="Yes"/>
    <n v="15"/>
    <x v="0"/>
    <n v="4"/>
    <n v="80"/>
    <n v="0"/>
    <n v="18"/>
    <n v="2"/>
    <n v="2"/>
    <n v="4"/>
    <n v="2"/>
    <x v="2"/>
    <n v="3"/>
  </r>
  <r>
    <n v="44"/>
    <x v="1"/>
    <s v="Travel_Frequently"/>
    <n v="602"/>
    <x v="2"/>
    <n v="1"/>
    <n v="5"/>
    <s v="Human Resources"/>
    <n v="1"/>
    <n v="1642"/>
    <n v="1"/>
    <x v="1"/>
    <n v="37"/>
    <n v="3"/>
    <n v="2"/>
    <s v="Human Resources"/>
    <n v="4"/>
    <s v="Married"/>
    <x v="0"/>
    <n v="5743"/>
    <n v="10503"/>
    <n v="4"/>
    <s v="Yes"/>
    <s v="Yes"/>
    <n v="11"/>
    <x v="0"/>
    <n v="3"/>
    <n v="80"/>
    <n v="0"/>
    <n v="14"/>
    <n v="3"/>
    <n v="3"/>
    <n v="10"/>
    <n v="7"/>
    <x v="0"/>
    <n v="2"/>
  </r>
  <r>
    <n v="48"/>
    <x v="1"/>
    <s v="Travel_Frequently"/>
    <n v="365"/>
    <x v="1"/>
    <n v="4"/>
    <n v="5"/>
    <s v="Medical"/>
    <n v="1"/>
    <n v="1644"/>
    <n v="3"/>
    <x v="1"/>
    <n v="89"/>
    <n v="2"/>
    <n v="4"/>
    <s v="Manager"/>
    <n v="4"/>
    <s v="Married"/>
    <x v="5"/>
    <n v="15202"/>
    <n v="5602"/>
    <n v="2"/>
    <s v="Yes"/>
    <s v="No"/>
    <n v="25"/>
    <x v="1"/>
    <n v="2"/>
    <n v="80"/>
    <n v="1"/>
    <n v="23"/>
    <n v="3"/>
    <n v="3"/>
    <n v="2"/>
    <n v="2"/>
    <x v="3"/>
    <n v="2"/>
  </r>
  <r>
    <n v="35"/>
    <x v="0"/>
    <s v="Travel_Rarely"/>
    <n v="763"/>
    <x v="0"/>
    <n v="15"/>
    <n v="2"/>
    <s v="Medical"/>
    <n v="1"/>
    <n v="1645"/>
    <n v="1"/>
    <x v="1"/>
    <n v="59"/>
    <n v="1"/>
    <n v="2"/>
    <s v="Sales Executive"/>
    <n v="4"/>
    <s v="Divorced"/>
    <x v="0"/>
    <n v="5440"/>
    <n v="22098"/>
    <n v="6"/>
    <s v="Yes"/>
    <s v="Yes"/>
    <n v="14"/>
    <x v="0"/>
    <n v="4"/>
    <n v="80"/>
    <n v="2"/>
    <n v="7"/>
    <n v="2"/>
    <n v="2"/>
    <n v="2"/>
    <n v="2"/>
    <x v="3"/>
    <n v="2"/>
  </r>
  <r>
    <n v="24"/>
    <x v="1"/>
    <s v="Travel_Frequently"/>
    <n v="567"/>
    <x v="1"/>
    <n v="2"/>
    <n v="1"/>
    <s v="Technical Degree"/>
    <n v="1"/>
    <n v="1646"/>
    <n v="1"/>
    <x v="0"/>
    <n v="32"/>
    <n v="3"/>
    <n v="1"/>
    <s v="Research Scientist"/>
    <n v="4"/>
    <s v="Single"/>
    <x v="2"/>
    <n v="3760"/>
    <n v="17218"/>
    <n v="1"/>
    <s v="Yes"/>
    <s v="Yes"/>
    <n v="13"/>
    <x v="0"/>
    <n v="3"/>
    <n v="80"/>
    <n v="0"/>
    <n v="6"/>
    <n v="2"/>
    <n v="3"/>
    <n v="6"/>
    <n v="3"/>
    <x v="1"/>
    <n v="3"/>
  </r>
  <r>
    <n v="27"/>
    <x v="1"/>
    <s v="Travel_Rarely"/>
    <n v="486"/>
    <x v="1"/>
    <n v="8"/>
    <n v="3"/>
    <s v="Medical"/>
    <n v="1"/>
    <n v="1647"/>
    <n v="2"/>
    <x v="0"/>
    <n v="86"/>
    <n v="4"/>
    <n v="1"/>
    <s v="Research Scientist"/>
    <n v="3"/>
    <s v="Married"/>
    <x v="2"/>
    <n v="3517"/>
    <n v="22490"/>
    <n v="7"/>
    <s v="Yes"/>
    <s v="No"/>
    <n v="17"/>
    <x v="0"/>
    <n v="1"/>
    <n v="80"/>
    <n v="0"/>
    <n v="5"/>
    <n v="0"/>
    <n v="3"/>
    <n v="3"/>
    <n v="2"/>
    <x v="0"/>
    <n v="2"/>
  </r>
  <r>
    <n v="27"/>
    <x v="1"/>
    <s v="Travel_Frequently"/>
    <n v="591"/>
    <x v="1"/>
    <n v="2"/>
    <n v="3"/>
    <s v="Medical"/>
    <n v="1"/>
    <n v="1648"/>
    <n v="4"/>
    <x v="1"/>
    <n v="87"/>
    <n v="3"/>
    <n v="1"/>
    <s v="Research Scientist"/>
    <n v="4"/>
    <s v="Single"/>
    <x v="1"/>
    <n v="2580"/>
    <n v="6297"/>
    <n v="2"/>
    <s v="Yes"/>
    <s v="No"/>
    <n v="13"/>
    <x v="0"/>
    <n v="3"/>
    <n v="80"/>
    <n v="0"/>
    <n v="6"/>
    <n v="0"/>
    <n v="2"/>
    <n v="4"/>
    <n v="2"/>
    <x v="1"/>
    <n v="2"/>
  </r>
  <r>
    <n v="40"/>
    <x v="0"/>
    <s v="Travel_Rarely"/>
    <n v="1329"/>
    <x v="1"/>
    <n v="7"/>
    <n v="3"/>
    <s v="Life Sciences"/>
    <n v="1"/>
    <n v="1649"/>
    <n v="1"/>
    <x v="1"/>
    <n v="73"/>
    <n v="3"/>
    <n v="1"/>
    <s v="Laboratory Technician"/>
    <n v="1"/>
    <s v="Single"/>
    <x v="1"/>
    <n v="2166"/>
    <n v="3339"/>
    <n v="3"/>
    <s v="Yes"/>
    <s v="Yes"/>
    <n v="14"/>
    <x v="0"/>
    <n v="2"/>
    <n v="80"/>
    <n v="0"/>
    <n v="10"/>
    <n v="3"/>
    <n v="1"/>
    <n v="4"/>
    <n v="2"/>
    <x v="0"/>
    <n v="3"/>
  </r>
  <r>
    <n v="29"/>
    <x v="1"/>
    <s v="Travel_Rarely"/>
    <n v="469"/>
    <x v="0"/>
    <n v="10"/>
    <n v="3"/>
    <s v="Medical"/>
    <n v="1"/>
    <n v="1650"/>
    <n v="3"/>
    <x v="1"/>
    <n v="42"/>
    <n v="2"/>
    <n v="2"/>
    <s v="Sales Executive"/>
    <n v="3"/>
    <s v="Single"/>
    <x v="0"/>
    <n v="5869"/>
    <n v="23413"/>
    <n v="9"/>
    <s v="Yes"/>
    <s v="No"/>
    <n v="11"/>
    <x v="0"/>
    <n v="3"/>
    <n v="80"/>
    <n v="0"/>
    <n v="8"/>
    <n v="2"/>
    <n v="3"/>
    <n v="5"/>
    <n v="2"/>
    <x v="1"/>
    <n v="4"/>
  </r>
  <r>
    <n v="36"/>
    <x v="1"/>
    <s v="Travel_Rarely"/>
    <n v="711"/>
    <x v="1"/>
    <n v="5"/>
    <n v="4"/>
    <s v="Life Sciences"/>
    <n v="1"/>
    <n v="1651"/>
    <n v="2"/>
    <x v="0"/>
    <n v="42"/>
    <n v="3"/>
    <n v="3"/>
    <s v="Healthcare Representative"/>
    <n v="1"/>
    <s v="Married"/>
    <x v="12"/>
    <n v="8008"/>
    <n v="22792"/>
    <n v="4"/>
    <s v="Yes"/>
    <s v="No"/>
    <n v="12"/>
    <x v="0"/>
    <n v="3"/>
    <n v="80"/>
    <n v="2"/>
    <n v="9"/>
    <n v="6"/>
    <n v="3"/>
    <n v="3"/>
    <n v="2"/>
    <x v="0"/>
    <n v="2"/>
  </r>
  <r>
    <n v="25"/>
    <x v="1"/>
    <s v="Travel_Frequently"/>
    <n v="772"/>
    <x v="1"/>
    <n v="2"/>
    <n v="1"/>
    <s v="Life Sciences"/>
    <n v="1"/>
    <n v="1653"/>
    <n v="4"/>
    <x v="1"/>
    <n v="77"/>
    <n v="4"/>
    <n v="2"/>
    <s v="Manufacturing Director"/>
    <n v="3"/>
    <s v="Divorced"/>
    <x v="0"/>
    <n v="5206"/>
    <n v="4973"/>
    <n v="1"/>
    <s v="Yes"/>
    <s v="No"/>
    <n v="17"/>
    <x v="0"/>
    <n v="3"/>
    <n v="80"/>
    <n v="2"/>
    <n v="7"/>
    <n v="6"/>
    <n v="3"/>
    <n v="7"/>
    <n v="7"/>
    <x v="0"/>
    <n v="7"/>
  </r>
  <r>
    <n v="39"/>
    <x v="1"/>
    <s v="Travel_Rarely"/>
    <n v="492"/>
    <x v="1"/>
    <n v="12"/>
    <n v="3"/>
    <s v="Medical"/>
    <n v="1"/>
    <n v="1654"/>
    <n v="4"/>
    <x v="1"/>
    <n v="66"/>
    <n v="3"/>
    <n v="2"/>
    <s v="Manufacturing Director"/>
    <n v="2"/>
    <s v="Married"/>
    <x v="0"/>
    <n v="5295"/>
    <n v="7693"/>
    <n v="4"/>
    <s v="Yes"/>
    <s v="No"/>
    <n v="21"/>
    <x v="1"/>
    <n v="3"/>
    <n v="80"/>
    <n v="0"/>
    <n v="7"/>
    <n v="3"/>
    <n v="3"/>
    <n v="5"/>
    <n v="4"/>
    <x v="1"/>
    <n v="0"/>
  </r>
  <r>
    <n v="49"/>
    <x v="1"/>
    <s v="Travel_Rarely"/>
    <n v="301"/>
    <x v="1"/>
    <n v="22"/>
    <n v="4"/>
    <s v="Other"/>
    <n v="1"/>
    <n v="1655"/>
    <n v="1"/>
    <x v="0"/>
    <n v="72"/>
    <n v="3"/>
    <n v="4"/>
    <s v="Research Director"/>
    <n v="2"/>
    <s v="Married"/>
    <x v="17"/>
    <n v="16413"/>
    <n v="3498"/>
    <n v="3"/>
    <s v="Yes"/>
    <s v="No"/>
    <n v="16"/>
    <x v="0"/>
    <n v="2"/>
    <n v="80"/>
    <n v="2"/>
    <n v="27"/>
    <n v="2"/>
    <n v="3"/>
    <n v="4"/>
    <n v="2"/>
    <x v="1"/>
    <n v="2"/>
  </r>
  <r>
    <n v="50"/>
    <x v="1"/>
    <s v="Travel_Rarely"/>
    <n v="813"/>
    <x v="1"/>
    <n v="17"/>
    <n v="5"/>
    <s v="Life Sciences"/>
    <n v="1"/>
    <n v="1656"/>
    <n v="4"/>
    <x v="0"/>
    <n v="50"/>
    <n v="2"/>
    <n v="3"/>
    <s v="Research Director"/>
    <n v="1"/>
    <s v="Divorced"/>
    <x v="13"/>
    <n v="13269"/>
    <n v="21981"/>
    <n v="5"/>
    <s v="Yes"/>
    <s v="No"/>
    <n v="15"/>
    <x v="0"/>
    <n v="3"/>
    <n v="80"/>
    <n v="3"/>
    <n v="19"/>
    <n v="3"/>
    <n v="3"/>
    <n v="14"/>
    <n v="11"/>
    <x v="1"/>
    <n v="11"/>
  </r>
  <r>
    <n v="20"/>
    <x v="1"/>
    <s v="Travel_Rarely"/>
    <n v="1141"/>
    <x v="0"/>
    <n v="2"/>
    <n v="3"/>
    <s v="Medical"/>
    <n v="1"/>
    <n v="1657"/>
    <n v="3"/>
    <x v="0"/>
    <n v="31"/>
    <n v="3"/>
    <n v="1"/>
    <s v="Sales Representative"/>
    <n v="3"/>
    <s v="Single"/>
    <x v="1"/>
    <n v="2783"/>
    <n v="13251"/>
    <n v="1"/>
    <s v="Yes"/>
    <s v="No"/>
    <n v="19"/>
    <x v="0"/>
    <n v="1"/>
    <n v="80"/>
    <n v="0"/>
    <n v="2"/>
    <n v="3"/>
    <n v="3"/>
    <n v="2"/>
    <n v="2"/>
    <x v="3"/>
    <n v="2"/>
  </r>
  <r>
    <n v="34"/>
    <x v="1"/>
    <s v="Travel_Rarely"/>
    <n v="1130"/>
    <x v="1"/>
    <n v="3"/>
    <n v="3"/>
    <s v="Life Sciences"/>
    <n v="1"/>
    <n v="1658"/>
    <n v="4"/>
    <x v="0"/>
    <n v="66"/>
    <n v="3"/>
    <n v="2"/>
    <s v="Research Scientist"/>
    <n v="2"/>
    <s v="Divorced"/>
    <x v="0"/>
    <n v="5433"/>
    <n v="19332"/>
    <n v="1"/>
    <s v="Yes"/>
    <s v="No"/>
    <n v="12"/>
    <x v="0"/>
    <n v="3"/>
    <n v="80"/>
    <n v="1"/>
    <n v="11"/>
    <n v="2"/>
    <n v="3"/>
    <n v="11"/>
    <n v="8"/>
    <x v="4"/>
    <n v="9"/>
  </r>
  <r>
    <n v="36"/>
    <x v="1"/>
    <s v="Travel_Rarely"/>
    <n v="311"/>
    <x v="1"/>
    <n v="7"/>
    <n v="3"/>
    <s v="Life Sciences"/>
    <n v="1"/>
    <n v="1659"/>
    <n v="1"/>
    <x v="1"/>
    <n v="77"/>
    <n v="3"/>
    <n v="1"/>
    <s v="Laboratory Technician"/>
    <n v="2"/>
    <s v="Single"/>
    <x v="1"/>
    <n v="2013"/>
    <n v="10950"/>
    <n v="2"/>
    <s v="Yes"/>
    <s v="No"/>
    <n v="11"/>
    <x v="0"/>
    <n v="3"/>
    <n v="80"/>
    <n v="0"/>
    <n v="15"/>
    <n v="4"/>
    <n v="3"/>
    <n v="4"/>
    <n v="3"/>
    <x v="1"/>
    <n v="3"/>
  </r>
  <r>
    <n v="49"/>
    <x v="1"/>
    <s v="Travel_Rarely"/>
    <n v="465"/>
    <x v="1"/>
    <n v="6"/>
    <n v="1"/>
    <s v="Life Sciences"/>
    <n v="1"/>
    <n v="1661"/>
    <n v="3"/>
    <x v="0"/>
    <n v="41"/>
    <n v="2"/>
    <n v="4"/>
    <s v="Healthcare Representative"/>
    <n v="3"/>
    <s v="Married"/>
    <x v="13"/>
    <n v="13966"/>
    <n v="11652"/>
    <n v="2"/>
    <s v="Yes"/>
    <s v="Yes"/>
    <n v="19"/>
    <x v="0"/>
    <n v="2"/>
    <n v="80"/>
    <n v="1"/>
    <n v="30"/>
    <n v="3"/>
    <n v="3"/>
    <n v="15"/>
    <n v="11"/>
    <x v="3"/>
    <n v="12"/>
  </r>
  <r>
    <n v="36"/>
    <x v="1"/>
    <s v="Non-Travel"/>
    <n v="894"/>
    <x v="1"/>
    <n v="1"/>
    <n v="4"/>
    <s v="Medical"/>
    <n v="1"/>
    <n v="1662"/>
    <n v="4"/>
    <x v="0"/>
    <n v="33"/>
    <n v="2"/>
    <n v="2"/>
    <s v="Manufacturing Director"/>
    <n v="3"/>
    <s v="Married"/>
    <x v="4"/>
    <n v="4374"/>
    <n v="15411"/>
    <n v="0"/>
    <s v="Yes"/>
    <s v="No"/>
    <n v="15"/>
    <x v="0"/>
    <n v="3"/>
    <n v="80"/>
    <n v="0"/>
    <n v="4"/>
    <n v="6"/>
    <n v="3"/>
    <n v="3"/>
    <n v="2"/>
    <x v="1"/>
    <n v="2"/>
  </r>
  <r>
    <n v="36"/>
    <x v="1"/>
    <s v="Travel_Rarely"/>
    <n v="1040"/>
    <x v="1"/>
    <n v="3"/>
    <n v="2"/>
    <s v="Life Sciences"/>
    <n v="1"/>
    <n v="1664"/>
    <n v="4"/>
    <x v="1"/>
    <n v="79"/>
    <n v="4"/>
    <n v="2"/>
    <s v="Healthcare Representative"/>
    <n v="1"/>
    <s v="Divorced"/>
    <x v="9"/>
    <n v="6842"/>
    <n v="26308"/>
    <n v="6"/>
    <s v="Yes"/>
    <s v="No"/>
    <n v="20"/>
    <x v="1"/>
    <n v="1"/>
    <n v="80"/>
    <n v="1"/>
    <n v="13"/>
    <n v="3"/>
    <n v="3"/>
    <n v="5"/>
    <n v="4"/>
    <x v="0"/>
    <n v="4"/>
  </r>
  <r>
    <n v="54"/>
    <x v="1"/>
    <s v="Travel_Rarely"/>
    <n v="584"/>
    <x v="1"/>
    <n v="22"/>
    <n v="5"/>
    <s v="Medical"/>
    <n v="1"/>
    <n v="1665"/>
    <n v="2"/>
    <x v="0"/>
    <n v="91"/>
    <n v="3"/>
    <n v="4"/>
    <s v="Manager"/>
    <n v="3"/>
    <s v="Married"/>
    <x v="16"/>
    <n v="17426"/>
    <n v="18685"/>
    <n v="3"/>
    <s v="Yes"/>
    <s v="No"/>
    <n v="25"/>
    <x v="1"/>
    <n v="3"/>
    <n v="80"/>
    <n v="1"/>
    <n v="36"/>
    <n v="6"/>
    <n v="3"/>
    <n v="10"/>
    <n v="8"/>
    <x v="5"/>
    <n v="7"/>
  </r>
  <r>
    <n v="43"/>
    <x v="1"/>
    <s v="Travel_Rarely"/>
    <n v="1291"/>
    <x v="1"/>
    <n v="15"/>
    <n v="2"/>
    <s v="Life Sciences"/>
    <n v="1"/>
    <n v="1666"/>
    <n v="3"/>
    <x v="1"/>
    <n v="65"/>
    <n v="2"/>
    <n v="4"/>
    <s v="Research Director"/>
    <n v="3"/>
    <s v="Married"/>
    <x v="16"/>
    <n v="17603"/>
    <n v="3525"/>
    <n v="1"/>
    <s v="Yes"/>
    <s v="No"/>
    <n v="24"/>
    <x v="1"/>
    <n v="1"/>
    <n v="80"/>
    <n v="1"/>
    <n v="14"/>
    <n v="3"/>
    <n v="3"/>
    <n v="14"/>
    <n v="10"/>
    <x v="7"/>
    <n v="11"/>
  </r>
  <r>
    <n v="35"/>
    <x v="0"/>
    <s v="Travel_Frequently"/>
    <n v="880"/>
    <x v="0"/>
    <n v="12"/>
    <n v="4"/>
    <s v="Other"/>
    <n v="1"/>
    <n v="1667"/>
    <n v="4"/>
    <x v="1"/>
    <n v="36"/>
    <n v="3"/>
    <n v="2"/>
    <s v="Sales Executive"/>
    <n v="4"/>
    <s v="Single"/>
    <x v="4"/>
    <n v="4581"/>
    <n v="10414"/>
    <n v="3"/>
    <s v="Yes"/>
    <s v="Yes"/>
    <n v="24"/>
    <x v="1"/>
    <n v="1"/>
    <n v="80"/>
    <n v="0"/>
    <n v="13"/>
    <n v="2"/>
    <n v="4"/>
    <n v="11"/>
    <n v="9"/>
    <x v="7"/>
    <n v="7"/>
  </r>
  <r>
    <n v="38"/>
    <x v="1"/>
    <s v="Travel_Frequently"/>
    <n v="1189"/>
    <x v="1"/>
    <n v="1"/>
    <n v="3"/>
    <s v="Life Sciences"/>
    <n v="1"/>
    <n v="1668"/>
    <n v="4"/>
    <x v="1"/>
    <n v="90"/>
    <n v="3"/>
    <n v="2"/>
    <s v="Research Scientist"/>
    <n v="4"/>
    <s v="Married"/>
    <x v="4"/>
    <n v="4735"/>
    <n v="9867"/>
    <n v="7"/>
    <s v="Yes"/>
    <s v="No"/>
    <n v="15"/>
    <x v="0"/>
    <n v="4"/>
    <n v="80"/>
    <n v="2"/>
    <n v="19"/>
    <n v="4"/>
    <n v="4"/>
    <n v="13"/>
    <n v="11"/>
    <x v="3"/>
    <n v="9"/>
  </r>
  <r>
    <n v="29"/>
    <x v="1"/>
    <s v="Travel_Rarely"/>
    <n v="991"/>
    <x v="0"/>
    <n v="5"/>
    <n v="3"/>
    <s v="Medical"/>
    <n v="1"/>
    <n v="1669"/>
    <n v="1"/>
    <x v="1"/>
    <n v="43"/>
    <n v="2"/>
    <n v="2"/>
    <s v="Sales Executive"/>
    <n v="2"/>
    <s v="Divorced"/>
    <x v="4"/>
    <n v="4187"/>
    <n v="3356"/>
    <n v="1"/>
    <s v="Yes"/>
    <s v="Yes"/>
    <n v="13"/>
    <x v="0"/>
    <n v="2"/>
    <n v="80"/>
    <n v="1"/>
    <n v="10"/>
    <n v="3"/>
    <n v="2"/>
    <n v="10"/>
    <n v="0"/>
    <x v="0"/>
    <n v="9"/>
  </r>
  <r>
    <n v="33"/>
    <x v="1"/>
    <s v="Travel_Rarely"/>
    <n v="392"/>
    <x v="0"/>
    <n v="2"/>
    <n v="4"/>
    <s v="Medical"/>
    <n v="1"/>
    <n v="1670"/>
    <n v="4"/>
    <x v="1"/>
    <n v="93"/>
    <n v="3"/>
    <n v="2"/>
    <s v="Sales Executive"/>
    <n v="4"/>
    <s v="Divorced"/>
    <x v="0"/>
    <n v="5505"/>
    <n v="3921"/>
    <n v="1"/>
    <s v="Yes"/>
    <s v="No"/>
    <n v="14"/>
    <x v="0"/>
    <n v="3"/>
    <n v="80"/>
    <n v="2"/>
    <n v="6"/>
    <n v="5"/>
    <n v="3"/>
    <n v="6"/>
    <n v="2"/>
    <x v="0"/>
    <n v="4"/>
  </r>
  <r>
    <n v="32"/>
    <x v="1"/>
    <s v="Travel_Rarely"/>
    <n v="977"/>
    <x v="1"/>
    <n v="2"/>
    <n v="3"/>
    <s v="Medical"/>
    <n v="1"/>
    <n v="1671"/>
    <n v="4"/>
    <x v="1"/>
    <n v="45"/>
    <n v="3"/>
    <n v="2"/>
    <s v="Research Scientist"/>
    <n v="2"/>
    <s v="Divorced"/>
    <x v="0"/>
    <n v="5470"/>
    <n v="25518"/>
    <n v="0"/>
    <s v="Yes"/>
    <s v="No"/>
    <n v="13"/>
    <x v="0"/>
    <n v="3"/>
    <n v="80"/>
    <n v="2"/>
    <n v="10"/>
    <n v="4"/>
    <n v="2"/>
    <n v="9"/>
    <n v="5"/>
    <x v="1"/>
    <n v="6"/>
  </r>
  <r>
    <n v="31"/>
    <x v="1"/>
    <s v="Travel_Rarely"/>
    <n v="1112"/>
    <x v="0"/>
    <n v="5"/>
    <n v="4"/>
    <s v="Life Sciences"/>
    <n v="1"/>
    <n v="1673"/>
    <n v="1"/>
    <x v="0"/>
    <n v="67"/>
    <n v="3"/>
    <n v="2"/>
    <s v="Sales Executive"/>
    <n v="4"/>
    <s v="Married"/>
    <x v="0"/>
    <n v="5476"/>
    <n v="22589"/>
    <n v="1"/>
    <s v="Yes"/>
    <s v="No"/>
    <n v="11"/>
    <x v="0"/>
    <n v="1"/>
    <n v="80"/>
    <n v="2"/>
    <n v="10"/>
    <n v="2"/>
    <n v="3"/>
    <n v="10"/>
    <n v="0"/>
    <x v="0"/>
    <n v="2"/>
  </r>
  <r>
    <n v="49"/>
    <x v="1"/>
    <s v="Travel_Rarely"/>
    <n v="464"/>
    <x v="1"/>
    <n v="16"/>
    <n v="3"/>
    <s v="Medical"/>
    <n v="1"/>
    <n v="1674"/>
    <n v="4"/>
    <x v="0"/>
    <n v="74"/>
    <n v="3"/>
    <n v="1"/>
    <s v="Laboratory Technician"/>
    <n v="1"/>
    <s v="Divorced"/>
    <x v="1"/>
    <n v="2587"/>
    <n v="24941"/>
    <n v="4"/>
    <s v="Yes"/>
    <s v="Yes"/>
    <n v="16"/>
    <x v="0"/>
    <n v="2"/>
    <n v="80"/>
    <n v="1"/>
    <n v="17"/>
    <n v="2"/>
    <n v="2"/>
    <n v="2"/>
    <n v="2"/>
    <x v="3"/>
    <n v="2"/>
  </r>
  <r>
    <n v="38"/>
    <x v="1"/>
    <s v="Travel_Frequently"/>
    <n v="148"/>
    <x v="1"/>
    <n v="2"/>
    <n v="3"/>
    <s v="Medical"/>
    <n v="1"/>
    <n v="1675"/>
    <n v="4"/>
    <x v="0"/>
    <n v="42"/>
    <n v="2"/>
    <n v="1"/>
    <s v="Laboratory Technician"/>
    <n v="2"/>
    <s v="Single"/>
    <x v="1"/>
    <n v="2440"/>
    <n v="23826"/>
    <n v="1"/>
    <s v="Yes"/>
    <s v="No"/>
    <n v="22"/>
    <x v="1"/>
    <n v="2"/>
    <n v="80"/>
    <n v="0"/>
    <n v="4"/>
    <n v="3"/>
    <n v="3"/>
    <n v="4"/>
    <n v="3"/>
    <x v="2"/>
    <n v="3"/>
  </r>
  <r>
    <n v="47"/>
    <x v="1"/>
    <s v="Travel_Rarely"/>
    <n v="1225"/>
    <x v="0"/>
    <n v="2"/>
    <n v="4"/>
    <s v="Life Sciences"/>
    <n v="1"/>
    <n v="1676"/>
    <n v="2"/>
    <x v="0"/>
    <n v="47"/>
    <n v="4"/>
    <n v="4"/>
    <s v="Manager"/>
    <n v="2"/>
    <s v="Divorced"/>
    <x v="5"/>
    <n v="15972"/>
    <n v="21086"/>
    <n v="6"/>
    <s v="Yes"/>
    <s v="No"/>
    <n v="14"/>
    <x v="0"/>
    <n v="3"/>
    <n v="80"/>
    <n v="3"/>
    <n v="29"/>
    <n v="2"/>
    <n v="3"/>
    <n v="3"/>
    <n v="2"/>
    <x v="1"/>
    <n v="2"/>
  </r>
  <r>
    <n v="49"/>
    <x v="1"/>
    <s v="Travel_Rarely"/>
    <n v="809"/>
    <x v="1"/>
    <n v="1"/>
    <n v="3"/>
    <s v="Life Sciences"/>
    <n v="1"/>
    <n v="1677"/>
    <n v="3"/>
    <x v="1"/>
    <n v="36"/>
    <n v="3"/>
    <n v="4"/>
    <s v="Manager"/>
    <n v="3"/>
    <s v="Single"/>
    <x v="5"/>
    <n v="15379"/>
    <n v="22384"/>
    <n v="4"/>
    <s v="Yes"/>
    <s v="No"/>
    <n v="14"/>
    <x v="0"/>
    <n v="1"/>
    <n v="80"/>
    <n v="0"/>
    <n v="23"/>
    <n v="2"/>
    <n v="3"/>
    <n v="8"/>
    <n v="7"/>
    <x v="0"/>
    <n v="0"/>
  </r>
  <r>
    <n v="41"/>
    <x v="1"/>
    <s v="Travel_Rarely"/>
    <n v="1206"/>
    <x v="0"/>
    <n v="23"/>
    <n v="2"/>
    <s v="Life Sciences"/>
    <n v="1"/>
    <n v="1678"/>
    <n v="4"/>
    <x v="1"/>
    <n v="80"/>
    <n v="3"/>
    <n v="3"/>
    <s v="Sales Executive"/>
    <n v="3"/>
    <s v="Single"/>
    <x v="14"/>
    <n v="7082"/>
    <n v="11591"/>
    <n v="3"/>
    <s v="Yes"/>
    <s v="Yes"/>
    <n v="16"/>
    <x v="0"/>
    <n v="4"/>
    <n v="80"/>
    <n v="0"/>
    <n v="21"/>
    <n v="2"/>
    <n v="3"/>
    <n v="2"/>
    <n v="0"/>
    <x v="0"/>
    <n v="2"/>
  </r>
  <r>
    <n v="20"/>
    <x v="1"/>
    <s v="Travel_Rarely"/>
    <n v="727"/>
    <x v="0"/>
    <n v="9"/>
    <n v="1"/>
    <s v="Life Sciences"/>
    <n v="1"/>
    <n v="1680"/>
    <n v="4"/>
    <x v="1"/>
    <n v="54"/>
    <n v="3"/>
    <n v="1"/>
    <s v="Sales Representative"/>
    <n v="1"/>
    <s v="Single"/>
    <x v="1"/>
    <n v="2728"/>
    <n v="21082"/>
    <n v="1"/>
    <s v="Yes"/>
    <s v="No"/>
    <n v="11"/>
    <x v="0"/>
    <n v="1"/>
    <n v="80"/>
    <n v="0"/>
    <n v="2"/>
    <n v="3"/>
    <n v="3"/>
    <n v="2"/>
    <n v="2"/>
    <x v="0"/>
    <n v="2"/>
  </r>
  <r>
    <n v="33"/>
    <x v="1"/>
    <s v="Non-Travel"/>
    <n v="530"/>
    <x v="0"/>
    <n v="16"/>
    <n v="3"/>
    <s v="Life Sciences"/>
    <n v="1"/>
    <n v="1681"/>
    <n v="3"/>
    <x v="0"/>
    <n v="36"/>
    <n v="3"/>
    <n v="2"/>
    <s v="Sales Executive"/>
    <n v="4"/>
    <s v="Divorced"/>
    <x v="0"/>
    <n v="5368"/>
    <n v="16130"/>
    <n v="1"/>
    <s v="Yes"/>
    <s v="Yes"/>
    <n v="25"/>
    <x v="1"/>
    <n v="3"/>
    <n v="80"/>
    <n v="1"/>
    <n v="7"/>
    <n v="2"/>
    <n v="3"/>
    <n v="6"/>
    <n v="5"/>
    <x v="1"/>
    <n v="2"/>
  </r>
  <r>
    <n v="36"/>
    <x v="1"/>
    <s v="Travel_Rarely"/>
    <n v="1351"/>
    <x v="1"/>
    <n v="26"/>
    <n v="4"/>
    <s v="Life Sciences"/>
    <n v="1"/>
    <n v="1682"/>
    <n v="1"/>
    <x v="1"/>
    <n v="80"/>
    <n v="3"/>
    <n v="2"/>
    <s v="Healthcare Representative"/>
    <n v="3"/>
    <s v="Married"/>
    <x v="0"/>
    <n v="5347"/>
    <n v="7419"/>
    <n v="6"/>
    <s v="Yes"/>
    <s v="No"/>
    <n v="14"/>
    <x v="0"/>
    <n v="2"/>
    <n v="80"/>
    <n v="2"/>
    <n v="10"/>
    <n v="2"/>
    <n v="2"/>
    <n v="3"/>
    <n v="2"/>
    <x v="0"/>
    <n v="2"/>
  </r>
  <r>
    <n v="44"/>
    <x v="1"/>
    <s v="Travel_Rarely"/>
    <n v="528"/>
    <x v="2"/>
    <n v="1"/>
    <n v="3"/>
    <s v="Life Sciences"/>
    <n v="1"/>
    <n v="1683"/>
    <n v="3"/>
    <x v="0"/>
    <n v="44"/>
    <n v="3"/>
    <n v="1"/>
    <s v="Human Resources"/>
    <n v="4"/>
    <s v="Divorced"/>
    <x v="2"/>
    <n v="3195"/>
    <n v="4167"/>
    <n v="4"/>
    <s v="Yes"/>
    <s v="Yes"/>
    <n v="18"/>
    <x v="0"/>
    <n v="1"/>
    <n v="80"/>
    <n v="3"/>
    <n v="8"/>
    <n v="2"/>
    <n v="3"/>
    <n v="2"/>
    <n v="2"/>
    <x v="3"/>
    <n v="2"/>
  </r>
  <r>
    <n v="23"/>
    <x v="0"/>
    <s v="Travel_Rarely"/>
    <n v="1320"/>
    <x v="1"/>
    <n v="8"/>
    <n v="1"/>
    <s v="Medical"/>
    <n v="1"/>
    <n v="1684"/>
    <n v="4"/>
    <x v="1"/>
    <n v="93"/>
    <n v="2"/>
    <n v="1"/>
    <s v="Laboratory Technician"/>
    <n v="3"/>
    <s v="Single"/>
    <x v="2"/>
    <n v="3989"/>
    <n v="20586"/>
    <n v="1"/>
    <s v="Yes"/>
    <s v="Yes"/>
    <n v="11"/>
    <x v="0"/>
    <n v="1"/>
    <n v="80"/>
    <n v="0"/>
    <n v="5"/>
    <n v="2"/>
    <n v="3"/>
    <n v="5"/>
    <n v="4"/>
    <x v="1"/>
    <n v="2"/>
  </r>
  <r>
    <n v="38"/>
    <x v="1"/>
    <s v="Travel_Rarely"/>
    <n v="1495"/>
    <x v="1"/>
    <n v="4"/>
    <n v="2"/>
    <s v="Medical"/>
    <n v="1"/>
    <n v="1687"/>
    <n v="4"/>
    <x v="0"/>
    <n v="87"/>
    <n v="3"/>
    <n v="1"/>
    <s v="Laboratory Technician"/>
    <n v="3"/>
    <s v="Married"/>
    <x v="2"/>
    <n v="3306"/>
    <n v="26176"/>
    <n v="7"/>
    <s v="Yes"/>
    <s v="No"/>
    <n v="19"/>
    <x v="0"/>
    <n v="4"/>
    <n v="80"/>
    <n v="1"/>
    <n v="7"/>
    <n v="5"/>
    <n v="2"/>
    <n v="0"/>
    <n v="0"/>
    <x v="0"/>
    <n v="0"/>
  </r>
  <r>
    <n v="53"/>
    <x v="1"/>
    <s v="Travel_Rarely"/>
    <n v="1395"/>
    <x v="1"/>
    <n v="24"/>
    <n v="4"/>
    <s v="Medical"/>
    <n v="1"/>
    <n v="1689"/>
    <n v="2"/>
    <x v="1"/>
    <n v="48"/>
    <n v="4"/>
    <n v="3"/>
    <s v="Healthcare Representative"/>
    <n v="4"/>
    <s v="Married"/>
    <x v="14"/>
    <n v="7005"/>
    <n v="3458"/>
    <n v="3"/>
    <s v="Yes"/>
    <s v="No"/>
    <n v="15"/>
    <x v="0"/>
    <n v="3"/>
    <n v="80"/>
    <n v="0"/>
    <n v="11"/>
    <n v="2"/>
    <n v="3"/>
    <n v="4"/>
    <n v="3"/>
    <x v="1"/>
    <n v="2"/>
  </r>
  <r>
    <n v="48"/>
    <x v="0"/>
    <s v="Travel_Frequently"/>
    <n v="708"/>
    <x v="0"/>
    <n v="7"/>
    <n v="2"/>
    <s v="Medical"/>
    <n v="1"/>
    <n v="1691"/>
    <n v="4"/>
    <x v="0"/>
    <n v="95"/>
    <n v="3"/>
    <n v="1"/>
    <s v="Sales Representative"/>
    <n v="3"/>
    <s v="Married"/>
    <x v="1"/>
    <n v="2655"/>
    <n v="11740"/>
    <n v="2"/>
    <s v="Yes"/>
    <s v="Yes"/>
    <n v="11"/>
    <x v="0"/>
    <n v="3"/>
    <n v="80"/>
    <n v="2"/>
    <n v="19"/>
    <n v="3"/>
    <n v="3"/>
    <n v="9"/>
    <n v="7"/>
    <x v="4"/>
    <n v="7"/>
  </r>
  <r>
    <n v="32"/>
    <x v="0"/>
    <s v="Travel_Rarely"/>
    <n v="1259"/>
    <x v="1"/>
    <n v="2"/>
    <n v="4"/>
    <s v="Life Sciences"/>
    <n v="1"/>
    <n v="1692"/>
    <n v="4"/>
    <x v="1"/>
    <n v="95"/>
    <n v="3"/>
    <n v="1"/>
    <s v="Laboratory Technician"/>
    <n v="2"/>
    <s v="Single"/>
    <x v="7"/>
    <n v="1393"/>
    <n v="24852"/>
    <n v="1"/>
    <s v="Yes"/>
    <s v="No"/>
    <n v="12"/>
    <x v="0"/>
    <n v="1"/>
    <n v="80"/>
    <n v="0"/>
    <n v="1"/>
    <n v="2"/>
    <n v="3"/>
    <n v="1"/>
    <n v="0"/>
    <x v="0"/>
    <n v="0"/>
  </r>
  <r>
    <n v="26"/>
    <x v="1"/>
    <s v="Non-Travel"/>
    <n v="786"/>
    <x v="1"/>
    <n v="7"/>
    <n v="3"/>
    <s v="Medical"/>
    <n v="1"/>
    <n v="1693"/>
    <n v="4"/>
    <x v="1"/>
    <n v="76"/>
    <n v="3"/>
    <n v="1"/>
    <s v="Laboratory Technician"/>
    <n v="4"/>
    <s v="Single"/>
    <x v="1"/>
    <n v="2570"/>
    <n v="11925"/>
    <n v="1"/>
    <s v="Yes"/>
    <s v="No"/>
    <n v="20"/>
    <x v="1"/>
    <n v="3"/>
    <n v="80"/>
    <n v="0"/>
    <n v="7"/>
    <n v="5"/>
    <n v="3"/>
    <n v="7"/>
    <n v="7"/>
    <x v="8"/>
    <n v="7"/>
  </r>
  <r>
    <n v="55"/>
    <x v="1"/>
    <s v="Travel_Rarely"/>
    <n v="1441"/>
    <x v="1"/>
    <n v="22"/>
    <n v="3"/>
    <s v="Technical Degree"/>
    <n v="1"/>
    <n v="1694"/>
    <n v="1"/>
    <x v="1"/>
    <n v="94"/>
    <n v="2"/>
    <n v="1"/>
    <s v="Research Scientist"/>
    <n v="2"/>
    <s v="Divorced"/>
    <x v="2"/>
    <n v="3537"/>
    <n v="23737"/>
    <n v="5"/>
    <s v="Yes"/>
    <s v="No"/>
    <n v="12"/>
    <x v="0"/>
    <n v="4"/>
    <n v="80"/>
    <n v="1"/>
    <n v="8"/>
    <n v="1"/>
    <n v="3"/>
    <n v="4"/>
    <n v="2"/>
    <x v="1"/>
    <n v="2"/>
  </r>
  <r>
    <n v="34"/>
    <x v="1"/>
    <s v="Travel_Rarely"/>
    <n v="1157"/>
    <x v="1"/>
    <n v="5"/>
    <n v="2"/>
    <s v="Medical"/>
    <n v="1"/>
    <n v="1696"/>
    <n v="2"/>
    <x v="1"/>
    <n v="57"/>
    <n v="2"/>
    <n v="2"/>
    <s v="Laboratory Technician"/>
    <n v="4"/>
    <s v="Married"/>
    <x v="2"/>
    <n v="3986"/>
    <n v="11912"/>
    <n v="1"/>
    <s v="Yes"/>
    <s v="No"/>
    <n v="14"/>
    <x v="0"/>
    <n v="3"/>
    <n v="80"/>
    <n v="1"/>
    <n v="15"/>
    <n v="3"/>
    <n v="4"/>
    <n v="15"/>
    <n v="10"/>
    <x v="5"/>
    <n v="13"/>
  </r>
  <r>
    <n v="60"/>
    <x v="1"/>
    <s v="Travel_Rarely"/>
    <n v="370"/>
    <x v="1"/>
    <n v="1"/>
    <n v="4"/>
    <s v="Medical"/>
    <n v="1"/>
    <n v="1697"/>
    <n v="3"/>
    <x v="1"/>
    <n v="92"/>
    <n v="1"/>
    <n v="3"/>
    <s v="Healthcare Representative"/>
    <n v="4"/>
    <s v="Divorced"/>
    <x v="10"/>
    <n v="10883"/>
    <n v="20467"/>
    <n v="3"/>
    <s v="Yes"/>
    <s v="No"/>
    <n v="20"/>
    <x v="1"/>
    <n v="3"/>
    <n v="80"/>
    <n v="1"/>
    <n v="19"/>
    <n v="2"/>
    <n v="4"/>
    <n v="1"/>
    <n v="0"/>
    <x v="0"/>
    <n v="0"/>
  </r>
  <r>
    <n v="33"/>
    <x v="1"/>
    <s v="Travel_Rarely"/>
    <n v="267"/>
    <x v="1"/>
    <n v="21"/>
    <n v="3"/>
    <s v="Medical"/>
    <n v="1"/>
    <n v="1698"/>
    <n v="2"/>
    <x v="1"/>
    <n v="79"/>
    <n v="4"/>
    <n v="1"/>
    <s v="Laboratory Technician"/>
    <n v="2"/>
    <s v="Married"/>
    <x v="1"/>
    <n v="2028"/>
    <n v="13637"/>
    <n v="1"/>
    <s v="Yes"/>
    <s v="No"/>
    <n v="18"/>
    <x v="0"/>
    <n v="4"/>
    <n v="80"/>
    <n v="3"/>
    <n v="14"/>
    <n v="6"/>
    <n v="3"/>
    <n v="14"/>
    <n v="11"/>
    <x v="3"/>
    <n v="13"/>
  </r>
  <r>
    <n v="37"/>
    <x v="1"/>
    <s v="Travel_Frequently"/>
    <n v="1278"/>
    <x v="0"/>
    <n v="1"/>
    <n v="4"/>
    <s v="Medical"/>
    <n v="1"/>
    <n v="1700"/>
    <n v="3"/>
    <x v="1"/>
    <n v="31"/>
    <n v="1"/>
    <n v="2"/>
    <s v="Sales Executive"/>
    <n v="4"/>
    <s v="Divorced"/>
    <x v="3"/>
    <n v="9525"/>
    <n v="7677"/>
    <n v="1"/>
    <s v="Yes"/>
    <s v="No"/>
    <n v="14"/>
    <x v="0"/>
    <n v="3"/>
    <n v="80"/>
    <n v="2"/>
    <n v="6"/>
    <n v="2"/>
    <n v="2"/>
    <n v="6"/>
    <n v="3"/>
    <x v="1"/>
    <n v="3"/>
  </r>
  <r>
    <n v="34"/>
    <x v="1"/>
    <s v="Travel_Rarely"/>
    <n v="678"/>
    <x v="1"/>
    <n v="19"/>
    <n v="3"/>
    <s v="Life Sciences"/>
    <n v="1"/>
    <n v="1701"/>
    <n v="2"/>
    <x v="0"/>
    <n v="35"/>
    <n v="2"/>
    <n v="1"/>
    <s v="Research Scientist"/>
    <n v="4"/>
    <s v="Married"/>
    <x v="1"/>
    <n v="2929"/>
    <n v="20338"/>
    <n v="1"/>
    <s v="Yes"/>
    <s v="No"/>
    <n v="12"/>
    <x v="0"/>
    <n v="2"/>
    <n v="80"/>
    <n v="0"/>
    <n v="10"/>
    <n v="3"/>
    <n v="3"/>
    <n v="10"/>
    <n v="9"/>
    <x v="6"/>
    <n v="7"/>
  </r>
  <r>
    <n v="23"/>
    <x v="0"/>
    <s v="Travel_Rarely"/>
    <n v="427"/>
    <x v="0"/>
    <n v="7"/>
    <n v="3"/>
    <s v="Life Sciences"/>
    <n v="1"/>
    <n v="1702"/>
    <n v="3"/>
    <x v="1"/>
    <n v="99"/>
    <n v="3"/>
    <n v="1"/>
    <s v="Sales Representative"/>
    <n v="4"/>
    <s v="Divorced"/>
    <x v="1"/>
    <n v="2275"/>
    <n v="25103"/>
    <n v="1"/>
    <s v="Yes"/>
    <s v="Yes"/>
    <n v="21"/>
    <x v="1"/>
    <n v="2"/>
    <n v="80"/>
    <n v="1"/>
    <n v="3"/>
    <n v="2"/>
    <n v="3"/>
    <n v="3"/>
    <n v="2"/>
    <x v="0"/>
    <n v="2"/>
  </r>
  <r>
    <n v="44"/>
    <x v="1"/>
    <s v="Travel_Rarely"/>
    <n v="921"/>
    <x v="1"/>
    <n v="2"/>
    <n v="3"/>
    <s v="Life Sciences"/>
    <n v="1"/>
    <n v="1703"/>
    <n v="3"/>
    <x v="0"/>
    <n v="96"/>
    <n v="4"/>
    <n v="3"/>
    <s v="Healthcare Representative"/>
    <n v="4"/>
    <s v="Married"/>
    <x v="14"/>
    <n v="7879"/>
    <n v="14810"/>
    <n v="1"/>
    <s v="Yes"/>
    <s v="Yes"/>
    <n v="19"/>
    <x v="0"/>
    <n v="2"/>
    <n v="80"/>
    <n v="1"/>
    <n v="9"/>
    <n v="2"/>
    <n v="3"/>
    <n v="8"/>
    <n v="7"/>
    <x v="7"/>
    <n v="7"/>
  </r>
  <r>
    <n v="35"/>
    <x v="1"/>
    <s v="Travel_Frequently"/>
    <n v="146"/>
    <x v="1"/>
    <n v="2"/>
    <n v="4"/>
    <s v="Medical"/>
    <n v="1"/>
    <n v="1704"/>
    <n v="1"/>
    <x v="1"/>
    <n v="79"/>
    <n v="2"/>
    <n v="1"/>
    <s v="Research Scientist"/>
    <n v="4"/>
    <s v="Single"/>
    <x v="4"/>
    <n v="4930"/>
    <n v="13970"/>
    <n v="0"/>
    <s v="Yes"/>
    <s v="Yes"/>
    <n v="14"/>
    <x v="0"/>
    <n v="3"/>
    <n v="80"/>
    <n v="0"/>
    <n v="6"/>
    <n v="2"/>
    <n v="4"/>
    <n v="5"/>
    <n v="4"/>
    <x v="1"/>
    <n v="4"/>
  </r>
  <r>
    <n v="43"/>
    <x v="1"/>
    <s v="Travel_Rarely"/>
    <n v="1179"/>
    <x v="0"/>
    <n v="2"/>
    <n v="3"/>
    <s v="Medical"/>
    <n v="1"/>
    <n v="1706"/>
    <n v="4"/>
    <x v="1"/>
    <n v="73"/>
    <n v="3"/>
    <n v="2"/>
    <s v="Sales Executive"/>
    <n v="4"/>
    <s v="Married"/>
    <x v="14"/>
    <n v="7847"/>
    <n v="6069"/>
    <n v="1"/>
    <s v="Yes"/>
    <s v="Yes"/>
    <n v="17"/>
    <x v="0"/>
    <n v="1"/>
    <n v="80"/>
    <n v="1"/>
    <n v="10"/>
    <n v="3"/>
    <n v="3"/>
    <n v="10"/>
    <n v="9"/>
    <x v="6"/>
    <n v="8"/>
  </r>
  <r>
    <n v="24"/>
    <x v="1"/>
    <s v="Travel_Rarely"/>
    <n v="581"/>
    <x v="1"/>
    <n v="9"/>
    <n v="3"/>
    <s v="Medical"/>
    <n v="1"/>
    <n v="1707"/>
    <n v="3"/>
    <x v="1"/>
    <n v="62"/>
    <n v="4"/>
    <n v="1"/>
    <s v="Research Scientist"/>
    <n v="3"/>
    <s v="Married"/>
    <x v="4"/>
    <n v="4401"/>
    <n v="17616"/>
    <n v="1"/>
    <s v="Yes"/>
    <s v="No"/>
    <n v="16"/>
    <x v="0"/>
    <n v="4"/>
    <n v="80"/>
    <n v="1"/>
    <n v="5"/>
    <n v="1"/>
    <n v="3"/>
    <n v="5"/>
    <n v="3"/>
    <x v="0"/>
    <n v="4"/>
  </r>
  <r>
    <n v="41"/>
    <x v="1"/>
    <s v="Travel_Rarely"/>
    <n v="918"/>
    <x v="0"/>
    <n v="6"/>
    <n v="3"/>
    <s v="Marketing"/>
    <n v="1"/>
    <n v="1708"/>
    <n v="4"/>
    <x v="1"/>
    <n v="35"/>
    <n v="3"/>
    <n v="3"/>
    <s v="Sales Executive"/>
    <n v="3"/>
    <s v="Single"/>
    <x v="3"/>
    <n v="9241"/>
    <n v="15869"/>
    <n v="1"/>
    <s v="Yes"/>
    <s v="No"/>
    <n v="12"/>
    <x v="0"/>
    <n v="2"/>
    <n v="80"/>
    <n v="0"/>
    <n v="10"/>
    <n v="3"/>
    <n v="3"/>
    <n v="10"/>
    <n v="8"/>
    <x v="6"/>
    <n v="7"/>
  </r>
  <r>
    <n v="29"/>
    <x v="1"/>
    <s v="Travel_Rarely"/>
    <n v="1082"/>
    <x v="1"/>
    <n v="9"/>
    <n v="4"/>
    <s v="Medical"/>
    <n v="1"/>
    <n v="1709"/>
    <n v="4"/>
    <x v="0"/>
    <n v="43"/>
    <n v="3"/>
    <n v="1"/>
    <s v="Laboratory Technician"/>
    <n v="3"/>
    <s v="Married"/>
    <x v="1"/>
    <n v="2974"/>
    <n v="25412"/>
    <n v="9"/>
    <s v="Yes"/>
    <s v="No"/>
    <n v="17"/>
    <x v="0"/>
    <n v="3"/>
    <n v="80"/>
    <n v="1"/>
    <n v="9"/>
    <n v="2"/>
    <n v="3"/>
    <n v="5"/>
    <n v="3"/>
    <x v="1"/>
    <n v="2"/>
  </r>
  <r>
    <n v="36"/>
    <x v="1"/>
    <s v="Travel_Rarely"/>
    <n v="530"/>
    <x v="0"/>
    <n v="2"/>
    <n v="4"/>
    <s v="Life Sciences"/>
    <n v="1"/>
    <n v="1710"/>
    <n v="3"/>
    <x v="0"/>
    <n v="51"/>
    <n v="3"/>
    <n v="2"/>
    <s v="Sales Representative"/>
    <n v="4"/>
    <s v="Single"/>
    <x v="4"/>
    <n v="4502"/>
    <n v="7439"/>
    <n v="3"/>
    <s v="Yes"/>
    <s v="No"/>
    <n v="15"/>
    <x v="0"/>
    <n v="3"/>
    <n v="80"/>
    <n v="0"/>
    <n v="17"/>
    <n v="2"/>
    <n v="2"/>
    <n v="13"/>
    <n v="7"/>
    <x v="7"/>
    <n v="7"/>
  </r>
  <r>
    <n v="45"/>
    <x v="1"/>
    <s v="Non-Travel"/>
    <n v="1238"/>
    <x v="1"/>
    <n v="1"/>
    <n v="1"/>
    <s v="Life Sciences"/>
    <n v="1"/>
    <n v="1712"/>
    <n v="3"/>
    <x v="1"/>
    <n v="74"/>
    <n v="2"/>
    <n v="3"/>
    <s v="Healthcare Representative"/>
    <n v="3"/>
    <s v="Married"/>
    <x v="10"/>
    <n v="10748"/>
    <n v="3395"/>
    <n v="3"/>
    <s v="Yes"/>
    <s v="No"/>
    <n v="23"/>
    <x v="1"/>
    <n v="4"/>
    <n v="80"/>
    <n v="1"/>
    <n v="25"/>
    <n v="3"/>
    <n v="2"/>
    <n v="23"/>
    <n v="15"/>
    <x v="15"/>
    <n v="4"/>
  </r>
  <r>
    <n v="24"/>
    <x v="0"/>
    <s v="Travel_Rarely"/>
    <n v="240"/>
    <x v="2"/>
    <n v="22"/>
    <n v="1"/>
    <s v="Human Resources"/>
    <n v="1"/>
    <n v="1714"/>
    <n v="4"/>
    <x v="1"/>
    <n v="58"/>
    <n v="1"/>
    <n v="1"/>
    <s v="Human Resources"/>
    <n v="3"/>
    <s v="Married"/>
    <x v="7"/>
    <n v="1555"/>
    <n v="11585"/>
    <n v="1"/>
    <s v="Yes"/>
    <s v="No"/>
    <n v="11"/>
    <x v="0"/>
    <n v="3"/>
    <n v="80"/>
    <n v="1"/>
    <n v="1"/>
    <n v="2"/>
    <n v="3"/>
    <n v="1"/>
    <n v="0"/>
    <x v="0"/>
    <n v="0"/>
  </r>
  <r>
    <n v="47"/>
    <x v="0"/>
    <s v="Travel_Frequently"/>
    <n v="1093"/>
    <x v="0"/>
    <n v="9"/>
    <n v="3"/>
    <s v="Life Sciences"/>
    <n v="1"/>
    <n v="1716"/>
    <n v="3"/>
    <x v="1"/>
    <n v="82"/>
    <n v="1"/>
    <n v="4"/>
    <s v="Sales Executive"/>
    <n v="3"/>
    <s v="Married"/>
    <x v="18"/>
    <n v="12936"/>
    <n v="24164"/>
    <n v="7"/>
    <s v="Yes"/>
    <s v="No"/>
    <n v="11"/>
    <x v="0"/>
    <n v="3"/>
    <n v="80"/>
    <n v="0"/>
    <n v="25"/>
    <n v="3"/>
    <n v="1"/>
    <n v="23"/>
    <n v="5"/>
    <x v="15"/>
    <n v="10"/>
  </r>
  <r>
    <n v="26"/>
    <x v="1"/>
    <s v="Travel_Rarely"/>
    <n v="390"/>
    <x v="1"/>
    <n v="17"/>
    <n v="4"/>
    <s v="Medical"/>
    <n v="1"/>
    <n v="1718"/>
    <n v="4"/>
    <x v="1"/>
    <n v="62"/>
    <n v="1"/>
    <n v="1"/>
    <s v="Laboratory Technician"/>
    <n v="3"/>
    <s v="Married"/>
    <x v="1"/>
    <n v="2305"/>
    <n v="6217"/>
    <n v="1"/>
    <s v="Yes"/>
    <s v="No"/>
    <n v="15"/>
    <x v="0"/>
    <n v="3"/>
    <n v="80"/>
    <n v="3"/>
    <n v="3"/>
    <n v="3"/>
    <n v="4"/>
    <n v="3"/>
    <n v="2"/>
    <x v="0"/>
    <n v="2"/>
  </r>
  <r>
    <n v="45"/>
    <x v="1"/>
    <s v="Travel_Rarely"/>
    <n v="1005"/>
    <x v="1"/>
    <n v="28"/>
    <n v="2"/>
    <s v="Technical Degree"/>
    <n v="1"/>
    <n v="1719"/>
    <n v="4"/>
    <x v="0"/>
    <n v="48"/>
    <n v="2"/>
    <n v="4"/>
    <s v="Research Director"/>
    <n v="2"/>
    <s v="Single"/>
    <x v="17"/>
    <n v="16704"/>
    <n v="17119"/>
    <n v="1"/>
    <s v="Yes"/>
    <s v="No"/>
    <n v="11"/>
    <x v="0"/>
    <n v="3"/>
    <n v="80"/>
    <n v="0"/>
    <n v="21"/>
    <n v="2"/>
    <n v="3"/>
    <n v="21"/>
    <n v="6"/>
    <x v="6"/>
    <n v="6"/>
  </r>
  <r>
    <n v="32"/>
    <x v="1"/>
    <s v="Travel_Frequently"/>
    <n v="585"/>
    <x v="1"/>
    <n v="10"/>
    <n v="3"/>
    <s v="Life Sciences"/>
    <n v="1"/>
    <n v="1720"/>
    <n v="1"/>
    <x v="1"/>
    <n v="56"/>
    <n v="3"/>
    <n v="1"/>
    <s v="Research Scientist"/>
    <n v="3"/>
    <s v="Married"/>
    <x v="2"/>
    <n v="3433"/>
    <n v="17360"/>
    <n v="6"/>
    <s v="Yes"/>
    <s v="No"/>
    <n v="13"/>
    <x v="0"/>
    <n v="1"/>
    <n v="80"/>
    <n v="1"/>
    <n v="10"/>
    <n v="3"/>
    <n v="2"/>
    <n v="5"/>
    <n v="2"/>
    <x v="1"/>
    <n v="3"/>
  </r>
  <r>
    <n v="31"/>
    <x v="1"/>
    <s v="Travel_Rarely"/>
    <n v="741"/>
    <x v="1"/>
    <n v="2"/>
    <n v="4"/>
    <s v="Life Sciences"/>
    <n v="1"/>
    <n v="1721"/>
    <n v="2"/>
    <x v="1"/>
    <n v="69"/>
    <n v="3"/>
    <n v="1"/>
    <s v="Laboratory Technician"/>
    <n v="3"/>
    <s v="Married"/>
    <x v="2"/>
    <n v="3477"/>
    <n v="18103"/>
    <n v="1"/>
    <s v="Yes"/>
    <s v="No"/>
    <n v="14"/>
    <x v="0"/>
    <n v="4"/>
    <n v="80"/>
    <n v="1"/>
    <n v="6"/>
    <n v="2"/>
    <n v="4"/>
    <n v="5"/>
    <n v="2"/>
    <x v="0"/>
    <n v="3"/>
  </r>
  <r>
    <n v="41"/>
    <x v="1"/>
    <s v="Non-Travel"/>
    <n v="552"/>
    <x v="2"/>
    <n v="4"/>
    <n v="3"/>
    <s v="Human Resources"/>
    <n v="1"/>
    <n v="1722"/>
    <n v="3"/>
    <x v="1"/>
    <n v="60"/>
    <n v="1"/>
    <n v="2"/>
    <s v="Human Resources"/>
    <n v="2"/>
    <s v="Married"/>
    <x v="9"/>
    <n v="6430"/>
    <n v="20794"/>
    <n v="6"/>
    <s v="Yes"/>
    <s v="No"/>
    <n v="19"/>
    <x v="0"/>
    <n v="2"/>
    <n v="80"/>
    <n v="1"/>
    <n v="10"/>
    <n v="4"/>
    <n v="3"/>
    <n v="3"/>
    <n v="2"/>
    <x v="1"/>
    <n v="2"/>
  </r>
  <r>
    <n v="40"/>
    <x v="1"/>
    <s v="Travel_Rarely"/>
    <n v="369"/>
    <x v="1"/>
    <n v="8"/>
    <n v="2"/>
    <s v="Life Sciences"/>
    <n v="1"/>
    <n v="1724"/>
    <n v="2"/>
    <x v="0"/>
    <n v="92"/>
    <n v="3"/>
    <n v="2"/>
    <s v="Manufacturing Director"/>
    <n v="1"/>
    <s v="Married"/>
    <x v="9"/>
    <n v="6516"/>
    <n v="5041"/>
    <n v="2"/>
    <s v="Yes"/>
    <s v="Yes"/>
    <n v="16"/>
    <x v="0"/>
    <n v="2"/>
    <n v="80"/>
    <n v="1"/>
    <n v="18"/>
    <n v="3"/>
    <n v="3"/>
    <n v="1"/>
    <n v="0"/>
    <x v="0"/>
    <n v="0"/>
  </r>
  <r>
    <n v="24"/>
    <x v="1"/>
    <s v="Travel_Rarely"/>
    <n v="506"/>
    <x v="1"/>
    <n v="29"/>
    <n v="1"/>
    <s v="Medical"/>
    <n v="1"/>
    <n v="1725"/>
    <n v="2"/>
    <x v="1"/>
    <n v="91"/>
    <n v="3"/>
    <n v="1"/>
    <s v="Laboratory Technician"/>
    <n v="1"/>
    <s v="Divorced"/>
    <x v="2"/>
    <n v="3907"/>
    <n v="3622"/>
    <n v="1"/>
    <s v="Yes"/>
    <s v="No"/>
    <n v="13"/>
    <x v="0"/>
    <n v="2"/>
    <n v="80"/>
    <n v="3"/>
    <n v="6"/>
    <n v="2"/>
    <n v="4"/>
    <n v="6"/>
    <n v="2"/>
    <x v="1"/>
    <n v="2"/>
  </r>
  <r>
    <n v="46"/>
    <x v="1"/>
    <s v="Travel_Rarely"/>
    <n v="717"/>
    <x v="1"/>
    <n v="13"/>
    <n v="4"/>
    <s v="Life Sciences"/>
    <n v="1"/>
    <n v="1727"/>
    <n v="3"/>
    <x v="1"/>
    <n v="34"/>
    <n v="3"/>
    <n v="2"/>
    <s v="Healthcare Representative"/>
    <n v="2"/>
    <s v="Single"/>
    <x v="0"/>
    <n v="5562"/>
    <n v="9697"/>
    <n v="6"/>
    <s v="Yes"/>
    <s v="No"/>
    <n v="14"/>
    <x v="0"/>
    <n v="4"/>
    <n v="80"/>
    <n v="0"/>
    <n v="19"/>
    <n v="3"/>
    <n v="3"/>
    <n v="10"/>
    <n v="7"/>
    <x v="0"/>
    <n v="9"/>
  </r>
  <r>
    <n v="35"/>
    <x v="1"/>
    <s v="Travel_Rarely"/>
    <n v="1370"/>
    <x v="1"/>
    <n v="27"/>
    <n v="4"/>
    <s v="Life Sciences"/>
    <n v="1"/>
    <n v="1728"/>
    <n v="4"/>
    <x v="1"/>
    <n v="49"/>
    <n v="3"/>
    <n v="2"/>
    <s v="Manufacturing Director"/>
    <n v="3"/>
    <s v="Married"/>
    <x v="9"/>
    <n v="6883"/>
    <n v="5151"/>
    <n v="2"/>
    <s v="Yes"/>
    <s v="No"/>
    <n v="16"/>
    <x v="0"/>
    <n v="2"/>
    <n v="80"/>
    <n v="1"/>
    <n v="17"/>
    <n v="3"/>
    <n v="3"/>
    <n v="7"/>
    <n v="7"/>
    <x v="0"/>
    <n v="7"/>
  </r>
  <r>
    <n v="30"/>
    <x v="1"/>
    <s v="Travel_Rarely"/>
    <n v="793"/>
    <x v="1"/>
    <n v="16"/>
    <n v="1"/>
    <s v="Life Sciences"/>
    <n v="1"/>
    <n v="1729"/>
    <n v="2"/>
    <x v="1"/>
    <n v="33"/>
    <n v="3"/>
    <n v="1"/>
    <s v="Research Scientist"/>
    <n v="4"/>
    <s v="Married"/>
    <x v="1"/>
    <n v="2862"/>
    <n v="3811"/>
    <n v="1"/>
    <s v="Yes"/>
    <s v="No"/>
    <n v="12"/>
    <x v="0"/>
    <n v="2"/>
    <n v="80"/>
    <n v="1"/>
    <n v="10"/>
    <n v="2"/>
    <n v="2"/>
    <n v="10"/>
    <n v="0"/>
    <x v="0"/>
    <n v="8"/>
  </r>
  <r>
    <n v="47"/>
    <x v="1"/>
    <s v="Non-Travel"/>
    <n v="543"/>
    <x v="0"/>
    <n v="2"/>
    <n v="4"/>
    <s v="Marketing"/>
    <n v="1"/>
    <n v="1731"/>
    <n v="3"/>
    <x v="1"/>
    <n v="87"/>
    <n v="3"/>
    <n v="2"/>
    <s v="Sales Executive"/>
    <n v="2"/>
    <s v="Married"/>
    <x v="4"/>
    <n v="4978"/>
    <n v="3536"/>
    <n v="7"/>
    <s v="Yes"/>
    <s v="No"/>
    <n v="11"/>
    <x v="0"/>
    <n v="4"/>
    <n v="80"/>
    <n v="1"/>
    <n v="4"/>
    <n v="3"/>
    <n v="1"/>
    <n v="1"/>
    <n v="0"/>
    <x v="0"/>
    <n v="0"/>
  </r>
  <r>
    <n v="46"/>
    <x v="1"/>
    <s v="Travel_Rarely"/>
    <n v="1277"/>
    <x v="0"/>
    <n v="2"/>
    <n v="3"/>
    <s v="Life Sciences"/>
    <n v="1"/>
    <n v="1732"/>
    <n v="3"/>
    <x v="1"/>
    <n v="74"/>
    <n v="3"/>
    <n v="3"/>
    <s v="Sales Executive"/>
    <n v="4"/>
    <s v="Divorced"/>
    <x v="10"/>
    <n v="10368"/>
    <n v="5596"/>
    <n v="4"/>
    <s v="Yes"/>
    <s v="Yes"/>
    <n v="12"/>
    <x v="0"/>
    <n v="2"/>
    <n v="80"/>
    <n v="1"/>
    <n v="13"/>
    <n v="5"/>
    <n v="2"/>
    <n v="10"/>
    <n v="6"/>
    <x v="0"/>
    <n v="3"/>
  </r>
  <r>
    <n v="36"/>
    <x v="0"/>
    <s v="Travel_Rarely"/>
    <n v="1456"/>
    <x v="0"/>
    <n v="13"/>
    <n v="5"/>
    <s v="Marketing"/>
    <n v="1"/>
    <n v="1733"/>
    <n v="2"/>
    <x v="1"/>
    <n v="96"/>
    <n v="2"/>
    <n v="2"/>
    <s v="Sales Executive"/>
    <n v="1"/>
    <s v="Divorced"/>
    <x v="9"/>
    <n v="6134"/>
    <n v="8658"/>
    <n v="5"/>
    <s v="Yes"/>
    <s v="Yes"/>
    <n v="13"/>
    <x v="0"/>
    <n v="2"/>
    <n v="80"/>
    <n v="3"/>
    <n v="16"/>
    <n v="3"/>
    <n v="3"/>
    <n v="2"/>
    <n v="2"/>
    <x v="3"/>
    <n v="2"/>
  </r>
  <r>
    <n v="32"/>
    <x v="0"/>
    <s v="Travel_Rarely"/>
    <n v="964"/>
    <x v="0"/>
    <n v="1"/>
    <n v="2"/>
    <s v="Life Sciences"/>
    <n v="1"/>
    <n v="1734"/>
    <n v="1"/>
    <x v="1"/>
    <n v="34"/>
    <n v="1"/>
    <n v="2"/>
    <s v="Sales Executive"/>
    <n v="2"/>
    <s v="Single"/>
    <x v="9"/>
    <n v="6735"/>
    <n v="12147"/>
    <n v="6"/>
    <s v="Yes"/>
    <s v="No"/>
    <n v="15"/>
    <x v="0"/>
    <n v="2"/>
    <n v="80"/>
    <n v="0"/>
    <n v="10"/>
    <n v="2"/>
    <n v="3"/>
    <n v="0"/>
    <n v="0"/>
    <x v="0"/>
    <n v="0"/>
  </r>
  <r>
    <n v="23"/>
    <x v="1"/>
    <s v="Travel_Rarely"/>
    <n v="160"/>
    <x v="1"/>
    <n v="4"/>
    <n v="1"/>
    <s v="Medical"/>
    <n v="1"/>
    <n v="1735"/>
    <n v="3"/>
    <x v="0"/>
    <n v="51"/>
    <n v="3"/>
    <n v="1"/>
    <s v="Laboratory Technician"/>
    <n v="2"/>
    <s v="Single"/>
    <x v="2"/>
    <n v="3295"/>
    <n v="12862"/>
    <n v="1"/>
    <s v="Yes"/>
    <s v="No"/>
    <n v="13"/>
    <x v="0"/>
    <n v="3"/>
    <n v="80"/>
    <n v="0"/>
    <n v="3"/>
    <n v="3"/>
    <n v="1"/>
    <n v="3"/>
    <n v="2"/>
    <x v="1"/>
    <n v="2"/>
  </r>
  <r>
    <n v="31"/>
    <x v="1"/>
    <s v="Travel_Frequently"/>
    <n v="163"/>
    <x v="1"/>
    <n v="24"/>
    <n v="1"/>
    <s v="Technical Degree"/>
    <n v="1"/>
    <n v="1736"/>
    <n v="4"/>
    <x v="0"/>
    <n v="30"/>
    <n v="3"/>
    <n v="2"/>
    <s v="Manufacturing Director"/>
    <n v="4"/>
    <s v="Single"/>
    <x v="0"/>
    <n v="5238"/>
    <n v="6670"/>
    <n v="2"/>
    <s v="Yes"/>
    <s v="No"/>
    <n v="20"/>
    <x v="1"/>
    <n v="4"/>
    <n v="80"/>
    <n v="0"/>
    <n v="9"/>
    <n v="3"/>
    <n v="2"/>
    <n v="5"/>
    <n v="4"/>
    <x v="1"/>
    <n v="4"/>
  </r>
  <r>
    <n v="39"/>
    <x v="1"/>
    <s v="Non-Travel"/>
    <n v="792"/>
    <x v="1"/>
    <n v="1"/>
    <n v="3"/>
    <s v="Life Sciences"/>
    <n v="1"/>
    <n v="1737"/>
    <n v="4"/>
    <x v="1"/>
    <n v="77"/>
    <n v="3"/>
    <n v="2"/>
    <s v="Laboratory Technician"/>
    <n v="4"/>
    <s v="Married"/>
    <x v="9"/>
    <n v="6472"/>
    <n v="8989"/>
    <n v="1"/>
    <s v="Yes"/>
    <s v="Yes"/>
    <n v="15"/>
    <x v="0"/>
    <n v="4"/>
    <n v="80"/>
    <n v="1"/>
    <n v="9"/>
    <n v="2"/>
    <n v="3"/>
    <n v="9"/>
    <n v="8"/>
    <x v="8"/>
    <n v="8"/>
  </r>
  <r>
    <n v="32"/>
    <x v="1"/>
    <s v="Travel_Rarely"/>
    <n v="371"/>
    <x v="0"/>
    <n v="19"/>
    <n v="3"/>
    <s v="Life Sciences"/>
    <n v="1"/>
    <n v="1739"/>
    <n v="4"/>
    <x v="1"/>
    <n v="80"/>
    <n v="1"/>
    <n v="3"/>
    <s v="Sales Executive"/>
    <n v="3"/>
    <s v="Married"/>
    <x v="3"/>
    <n v="9610"/>
    <n v="3840"/>
    <n v="3"/>
    <s v="Yes"/>
    <s v="No"/>
    <n v="13"/>
    <x v="0"/>
    <n v="3"/>
    <n v="80"/>
    <n v="1"/>
    <n v="10"/>
    <n v="2"/>
    <n v="1"/>
    <n v="4"/>
    <n v="3"/>
    <x v="0"/>
    <n v="2"/>
  </r>
  <r>
    <n v="40"/>
    <x v="1"/>
    <s v="Travel_Rarely"/>
    <n v="611"/>
    <x v="0"/>
    <n v="7"/>
    <n v="4"/>
    <s v="Medical"/>
    <n v="1"/>
    <n v="1740"/>
    <n v="2"/>
    <x v="1"/>
    <n v="88"/>
    <n v="3"/>
    <n v="5"/>
    <s v="Manager"/>
    <n v="2"/>
    <s v="Single"/>
    <x v="8"/>
    <n v="19833"/>
    <n v="4349"/>
    <n v="1"/>
    <s v="Yes"/>
    <s v="No"/>
    <n v="14"/>
    <x v="0"/>
    <n v="2"/>
    <n v="80"/>
    <n v="0"/>
    <n v="21"/>
    <n v="3"/>
    <n v="2"/>
    <n v="21"/>
    <n v="8"/>
    <x v="12"/>
    <n v="8"/>
  </r>
  <r>
    <n v="45"/>
    <x v="1"/>
    <s v="Travel_Rarely"/>
    <n v="176"/>
    <x v="2"/>
    <n v="4"/>
    <n v="3"/>
    <s v="Life Sciences"/>
    <n v="1"/>
    <n v="1744"/>
    <n v="3"/>
    <x v="0"/>
    <n v="56"/>
    <n v="1"/>
    <n v="3"/>
    <s v="Human Resources"/>
    <n v="3"/>
    <s v="Married"/>
    <x v="3"/>
    <n v="9756"/>
    <n v="6595"/>
    <n v="4"/>
    <s v="Yes"/>
    <s v="No"/>
    <n v="21"/>
    <x v="1"/>
    <n v="3"/>
    <n v="80"/>
    <n v="2"/>
    <n v="9"/>
    <n v="2"/>
    <n v="4"/>
    <n v="5"/>
    <n v="0"/>
    <x v="0"/>
    <n v="3"/>
  </r>
  <r>
    <n v="30"/>
    <x v="1"/>
    <s v="Travel_Frequently"/>
    <n v="1312"/>
    <x v="1"/>
    <n v="2"/>
    <n v="4"/>
    <s v="Technical Degree"/>
    <n v="1"/>
    <n v="1745"/>
    <n v="4"/>
    <x v="0"/>
    <n v="78"/>
    <n v="2"/>
    <n v="1"/>
    <s v="Research Scientist"/>
    <n v="1"/>
    <s v="Single"/>
    <x v="4"/>
    <n v="4968"/>
    <n v="26427"/>
    <n v="0"/>
    <s v="Yes"/>
    <s v="No"/>
    <n v="16"/>
    <x v="0"/>
    <n v="4"/>
    <n v="80"/>
    <n v="0"/>
    <n v="10"/>
    <n v="2"/>
    <n v="3"/>
    <n v="9"/>
    <n v="7"/>
    <x v="0"/>
    <n v="7"/>
  </r>
  <r>
    <n v="24"/>
    <x v="1"/>
    <s v="Travel_Frequently"/>
    <n v="897"/>
    <x v="2"/>
    <n v="10"/>
    <n v="3"/>
    <s v="Medical"/>
    <n v="1"/>
    <n v="1746"/>
    <n v="1"/>
    <x v="1"/>
    <n v="59"/>
    <n v="3"/>
    <n v="1"/>
    <s v="Human Resources"/>
    <n v="4"/>
    <s v="Married"/>
    <x v="1"/>
    <n v="2145"/>
    <n v="2097"/>
    <n v="0"/>
    <s v="Yes"/>
    <s v="No"/>
    <n v="14"/>
    <x v="0"/>
    <n v="4"/>
    <n v="80"/>
    <n v="1"/>
    <n v="3"/>
    <n v="2"/>
    <n v="3"/>
    <n v="2"/>
    <n v="2"/>
    <x v="3"/>
    <n v="1"/>
  </r>
  <r>
    <n v="30"/>
    <x v="0"/>
    <s v="Travel_Frequently"/>
    <n v="600"/>
    <x v="2"/>
    <n v="8"/>
    <n v="3"/>
    <s v="Human Resources"/>
    <n v="1"/>
    <n v="1747"/>
    <n v="3"/>
    <x v="0"/>
    <n v="66"/>
    <n v="2"/>
    <n v="1"/>
    <s v="Human Resources"/>
    <n v="4"/>
    <s v="Divorced"/>
    <x v="1"/>
    <n v="2180"/>
    <n v="9732"/>
    <n v="6"/>
    <s v="Yes"/>
    <s v="No"/>
    <n v="11"/>
    <x v="0"/>
    <n v="3"/>
    <n v="80"/>
    <n v="1"/>
    <n v="6"/>
    <n v="0"/>
    <n v="2"/>
    <n v="4"/>
    <n v="2"/>
    <x v="1"/>
    <n v="2"/>
  </r>
  <r>
    <n v="31"/>
    <x v="1"/>
    <s v="Travel_Rarely"/>
    <n v="1003"/>
    <x v="0"/>
    <n v="5"/>
    <n v="3"/>
    <s v="Technical Degree"/>
    <n v="1"/>
    <n v="1749"/>
    <n v="1"/>
    <x v="1"/>
    <n v="51"/>
    <n v="3"/>
    <n v="2"/>
    <s v="Sales Executive"/>
    <n v="3"/>
    <s v="Married"/>
    <x v="12"/>
    <n v="8346"/>
    <n v="20943"/>
    <n v="1"/>
    <s v="Yes"/>
    <s v="No"/>
    <n v="19"/>
    <x v="0"/>
    <n v="3"/>
    <n v="80"/>
    <n v="1"/>
    <n v="6"/>
    <n v="3"/>
    <n v="3"/>
    <n v="5"/>
    <n v="2"/>
    <x v="0"/>
    <n v="2"/>
  </r>
  <r>
    <n v="27"/>
    <x v="1"/>
    <s v="Travel_Rarely"/>
    <n v="1054"/>
    <x v="1"/>
    <n v="8"/>
    <n v="3"/>
    <s v="Medical"/>
    <n v="1"/>
    <n v="1751"/>
    <n v="3"/>
    <x v="0"/>
    <n v="67"/>
    <n v="3"/>
    <n v="1"/>
    <s v="Research Scientist"/>
    <n v="4"/>
    <s v="Single"/>
    <x v="2"/>
    <n v="3445"/>
    <n v="6152"/>
    <n v="1"/>
    <s v="Yes"/>
    <s v="No"/>
    <n v="11"/>
    <x v="0"/>
    <n v="3"/>
    <n v="80"/>
    <n v="0"/>
    <n v="6"/>
    <n v="5"/>
    <n v="2"/>
    <n v="6"/>
    <n v="2"/>
    <x v="1"/>
    <n v="4"/>
  </r>
  <r>
    <n v="29"/>
    <x v="0"/>
    <s v="Travel_Rarely"/>
    <n v="428"/>
    <x v="0"/>
    <n v="9"/>
    <n v="3"/>
    <s v="Marketing"/>
    <n v="1"/>
    <n v="1752"/>
    <n v="2"/>
    <x v="0"/>
    <n v="52"/>
    <n v="1"/>
    <n v="1"/>
    <s v="Sales Representative"/>
    <n v="2"/>
    <s v="Single"/>
    <x v="1"/>
    <n v="2760"/>
    <n v="14630"/>
    <n v="1"/>
    <s v="Yes"/>
    <s v="No"/>
    <n v="13"/>
    <x v="0"/>
    <n v="3"/>
    <n v="80"/>
    <n v="0"/>
    <n v="2"/>
    <n v="3"/>
    <n v="3"/>
    <n v="2"/>
    <n v="2"/>
    <x v="3"/>
    <n v="2"/>
  </r>
  <r>
    <n v="29"/>
    <x v="1"/>
    <s v="Travel_Frequently"/>
    <n v="461"/>
    <x v="1"/>
    <n v="1"/>
    <n v="3"/>
    <s v="Life Sciences"/>
    <n v="1"/>
    <n v="1753"/>
    <n v="4"/>
    <x v="1"/>
    <n v="70"/>
    <n v="4"/>
    <n v="2"/>
    <s v="Healthcare Representative"/>
    <n v="3"/>
    <s v="Single"/>
    <x v="9"/>
    <n v="6294"/>
    <n v="23060"/>
    <n v="8"/>
    <s v="Yes"/>
    <s v="Yes"/>
    <n v="12"/>
    <x v="0"/>
    <n v="4"/>
    <n v="80"/>
    <n v="0"/>
    <n v="10"/>
    <n v="5"/>
    <n v="4"/>
    <n v="3"/>
    <n v="2"/>
    <x v="0"/>
    <n v="2"/>
  </r>
  <r>
    <n v="30"/>
    <x v="1"/>
    <s v="Travel_Rarely"/>
    <n v="979"/>
    <x v="0"/>
    <n v="15"/>
    <n v="2"/>
    <s v="Marketing"/>
    <n v="1"/>
    <n v="1754"/>
    <n v="3"/>
    <x v="1"/>
    <n v="94"/>
    <n v="2"/>
    <n v="3"/>
    <s v="Sales Executive"/>
    <n v="1"/>
    <s v="Divorced"/>
    <x v="14"/>
    <n v="7140"/>
    <n v="3088"/>
    <n v="2"/>
    <s v="Yes"/>
    <s v="No"/>
    <n v="11"/>
    <x v="0"/>
    <n v="1"/>
    <n v="80"/>
    <n v="1"/>
    <n v="12"/>
    <n v="2"/>
    <n v="3"/>
    <n v="7"/>
    <n v="7"/>
    <x v="1"/>
    <n v="7"/>
  </r>
  <r>
    <n v="34"/>
    <x v="1"/>
    <s v="Travel_Rarely"/>
    <n v="181"/>
    <x v="1"/>
    <n v="2"/>
    <n v="4"/>
    <s v="Medical"/>
    <n v="1"/>
    <n v="1755"/>
    <n v="4"/>
    <x v="1"/>
    <n v="97"/>
    <n v="4"/>
    <n v="1"/>
    <s v="Research Scientist"/>
    <n v="4"/>
    <s v="Married"/>
    <x v="1"/>
    <n v="2932"/>
    <n v="5586"/>
    <n v="0"/>
    <s v="Yes"/>
    <s v="Yes"/>
    <n v="14"/>
    <x v="0"/>
    <n v="1"/>
    <n v="80"/>
    <n v="3"/>
    <n v="6"/>
    <n v="3"/>
    <n v="3"/>
    <n v="5"/>
    <n v="0"/>
    <x v="1"/>
    <n v="2"/>
  </r>
  <r>
    <n v="33"/>
    <x v="1"/>
    <s v="Non-Travel"/>
    <n v="1283"/>
    <x v="0"/>
    <n v="2"/>
    <n v="3"/>
    <s v="Marketing"/>
    <n v="1"/>
    <n v="1756"/>
    <n v="4"/>
    <x v="0"/>
    <n v="62"/>
    <n v="3"/>
    <n v="2"/>
    <s v="Sales Executive"/>
    <n v="2"/>
    <s v="Single"/>
    <x v="0"/>
    <n v="5147"/>
    <n v="10697"/>
    <n v="8"/>
    <s v="Yes"/>
    <s v="No"/>
    <n v="15"/>
    <x v="0"/>
    <n v="4"/>
    <n v="80"/>
    <n v="0"/>
    <n v="13"/>
    <n v="2"/>
    <n v="2"/>
    <n v="11"/>
    <n v="7"/>
    <x v="1"/>
    <n v="7"/>
  </r>
  <r>
    <n v="49"/>
    <x v="1"/>
    <s v="Travel_Rarely"/>
    <n v="1313"/>
    <x v="0"/>
    <n v="11"/>
    <n v="4"/>
    <s v="Marketing"/>
    <n v="1"/>
    <n v="1757"/>
    <n v="4"/>
    <x v="0"/>
    <n v="80"/>
    <n v="3"/>
    <n v="2"/>
    <s v="Sales Executive"/>
    <n v="4"/>
    <s v="Single"/>
    <x v="4"/>
    <n v="4507"/>
    <n v="8191"/>
    <n v="3"/>
    <s v="Yes"/>
    <s v="No"/>
    <n v="12"/>
    <x v="0"/>
    <n v="3"/>
    <n v="80"/>
    <n v="0"/>
    <n v="8"/>
    <n v="1"/>
    <n v="4"/>
    <n v="5"/>
    <n v="1"/>
    <x v="0"/>
    <n v="4"/>
  </r>
  <r>
    <n v="33"/>
    <x v="0"/>
    <s v="Travel_Rarely"/>
    <n v="211"/>
    <x v="0"/>
    <n v="16"/>
    <n v="3"/>
    <s v="Life Sciences"/>
    <n v="1"/>
    <n v="1758"/>
    <n v="1"/>
    <x v="0"/>
    <n v="74"/>
    <n v="3"/>
    <n v="3"/>
    <s v="Sales Executive"/>
    <n v="1"/>
    <s v="Single"/>
    <x v="12"/>
    <n v="8564"/>
    <n v="10092"/>
    <n v="2"/>
    <s v="Yes"/>
    <s v="Yes"/>
    <n v="20"/>
    <x v="1"/>
    <n v="3"/>
    <n v="80"/>
    <n v="0"/>
    <n v="11"/>
    <n v="2"/>
    <n v="2"/>
    <n v="0"/>
    <n v="0"/>
    <x v="0"/>
    <n v="0"/>
  </r>
  <r>
    <n v="38"/>
    <x v="1"/>
    <s v="Travel_Frequently"/>
    <n v="594"/>
    <x v="1"/>
    <n v="2"/>
    <n v="2"/>
    <s v="Medical"/>
    <n v="1"/>
    <n v="1760"/>
    <n v="3"/>
    <x v="0"/>
    <n v="75"/>
    <n v="2"/>
    <n v="1"/>
    <s v="Laboratory Technician"/>
    <n v="2"/>
    <s v="Married"/>
    <x v="1"/>
    <n v="2468"/>
    <n v="15963"/>
    <n v="4"/>
    <s v="Yes"/>
    <s v="No"/>
    <n v="14"/>
    <x v="0"/>
    <n v="2"/>
    <n v="80"/>
    <n v="1"/>
    <n v="9"/>
    <n v="4"/>
    <n v="2"/>
    <n v="6"/>
    <n v="1"/>
    <x v="0"/>
    <n v="5"/>
  </r>
  <r>
    <n v="31"/>
    <x v="0"/>
    <s v="Travel_Rarely"/>
    <n v="1079"/>
    <x v="0"/>
    <n v="16"/>
    <n v="4"/>
    <s v="Marketing"/>
    <n v="1"/>
    <n v="1761"/>
    <n v="1"/>
    <x v="1"/>
    <n v="70"/>
    <n v="3"/>
    <n v="3"/>
    <s v="Sales Executive"/>
    <n v="3"/>
    <s v="Married"/>
    <x v="12"/>
    <n v="8161"/>
    <n v="19002"/>
    <n v="2"/>
    <s v="Yes"/>
    <s v="No"/>
    <n v="13"/>
    <x v="0"/>
    <n v="1"/>
    <n v="80"/>
    <n v="3"/>
    <n v="10"/>
    <n v="2"/>
    <n v="3"/>
    <n v="1"/>
    <n v="0"/>
    <x v="0"/>
    <n v="0"/>
  </r>
  <r>
    <n v="29"/>
    <x v="1"/>
    <s v="Travel_Rarely"/>
    <n v="590"/>
    <x v="1"/>
    <n v="4"/>
    <n v="3"/>
    <s v="Technical Degree"/>
    <n v="1"/>
    <n v="1762"/>
    <n v="4"/>
    <x v="0"/>
    <n v="91"/>
    <n v="2"/>
    <n v="1"/>
    <s v="Research Scientist"/>
    <n v="1"/>
    <s v="Divorced"/>
    <x v="1"/>
    <n v="2109"/>
    <n v="10007"/>
    <n v="1"/>
    <s v="Yes"/>
    <s v="No"/>
    <n v="13"/>
    <x v="0"/>
    <n v="3"/>
    <n v="80"/>
    <n v="1"/>
    <n v="1"/>
    <n v="2"/>
    <n v="3"/>
    <n v="1"/>
    <n v="0"/>
    <x v="0"/>
    <n v="0"/>
  </r>
  <r>
    <n v="30"/>
    <x v="1"/>
    <s v="Travel_Rarely"/>
    <n v="305"/>
    <x v="1"/>
    <n v="16"/>
    <n v="3"/>
    <s v="Life Sciences"/>
    <n v="1"/>
    <n v="1763"/>
    <n v="3"/>
    <x v="1"/>
    <n v="58"/>
    <n v="4"/>
    <n v="2"/>
    <s v="Healthcare Representative"/>
    <n v="3"/>
    <s v="Married"/>
    <x v="0"/>
    <n v="5294"/>
    <n v="9128"/>
    <n v="3"/>
    <s v="Yes"/>
    <s v="No"/>
    <n v="16"/>
    <x v="0"/>
    <n v="3"/>
    <n v="80"/>
    <n v="1"/>
    <n v="10"/>
    <n v="3"/>
    <n v="3"/>
    <n v="7"/>
    <n v="0"/>
    <x v="1"/>
    <n v="7"/>
  </r>
  <r>
    <n v="32"/>
    <x v="1"/>
    <s v="Non-Travel"/>
    <n v="953"/>
    <x v="1"/>
    <n v="5"/>
    <n v="4"/>
    <s v="Technical Degree"/>
    <n v="1"/>
    <n v="1764"/>
    <n v="2"/>
    <x v="1"/>
    <n v="65"/>
    <n v="3"/>
    <n v="1"/>
    <s v="Research Scientist"/>
    <n v="2"/>
    <s v="Single"/>
    <x v="1"/>
    <n v="2718"/>
    <n v="17674"/>
    <n v="2"/>
    <s v="Yes"/>
    <s v="No"/>
    <n v="14"/>
    <x v="0"/>
    <n v="2"/>
    <n v="80"/>
    <n v="0"/>
    <n v="12"/>
    <n v="3"/>
    <n v="3"/>
    <n v="7"/>
    <n v="7"/>
    <x v="0"/>
    <n v="7"/>
  </r>
  <r>
    <n v="38"/>
    <x v="1"/>
    <s v="Travel_Rarely"/>
    <n v="833"/>
    <x v="1"/>
    <n v="18"/>
    <n v="3"/>
    <s v="Medical"/>
    <n v="1"/>
    <n v="1766"/>
    <n v="2"/>
    <x v="1"/>
    <n v="60"/>
    <n v="1"/>
    <n v="2"/>
    <s v="Healthcare Representative"/>
    <n v="4"/>
    <s v="Married"/>
    <x v="0"/>
    <n v="5811"/>
    <n v="24539"/>
    <n v="3"/>
    <s v="Yes"/>
    <s v="Yes"/>
    <n v="16"/>
    <x v="0"/>
    <n v="3"/>
    <n v="80"/>
    <n v="1"/>
    <n v="15"/>
    <n v="2"/>
    <n v="3"/>
    <n v="1"/>
    <n v="0"/>
    <x v="1"/>
    <n v="0"/>
  </r>
  <r>
    <n v="43"/>
    <x v="0"/>
    <s v="Travel_Frequently"/>
    <n v="807"/>
    <x v="1"/>
    <n v="17"/>
    <n v="3"/>
    <s v="Technical Degree"/>
    <n v="1"/>
    <n v="1767"/>
    <n v="3"/>
    <x v="1"/>
    <n v="38"/>
    <n v="2"/>
    <n v="1"/>
    <s v="Research Scientist"/>
    <n v="3"/>
    <s v="Married"/>
    <x v="1"/>
    <n v="2437"/>
    <n v="15587"/>
    <n v="9"/>
    <s v="Yes"/>
    <s v="Yes"/>
    <n v="16"/>
    <x v="0"/>
    <n v="4"/>
    <n v="80"/>
    <n v="1"/>
    <n v="6"/>
    <n v="4"/>
    <n v="3"/>
    <n v="1"/>
    <n v="0"/>
    <x v="0"/>
    <n v="0"/>
  </r>
  <r>
    <n v="42"/>
    <x v="1"/>
    <s v="Travel_Rarely"/>
    <n v="855"/>
    <x v="1"/>
    <n v="12"/>
    <n v="3"/>
    <s v="Medical"/>
    <n v="1"/>
    <n v="1768"/>
    <n v="2"/>
    <x v="1"/>
    <n v="57"/>
    <n v="3"/>
    <n v="1"/>
    <s v="Laboratory Technician"/>
    <n v="2"/>
    <s v="Divorced"/>
    <x v="1"/>
    <n v="2766"/>
    <n v="8952"/>
    <n v="8"/>
    <s v="Yes"/>
    <s v="No"/>
    <n v="22"/>
    <x v="1"/>
    <n v="2"/>
    <n v="80"/>
    <n v="3"/>
    <n v="7"/>
    <n v="6"/>
    <n v="2"/>
    <n v="5"/>
    <n v="3"/>
    <x v="0"/>
    <n v="4"/>
  </r>
  <r>
    <n v="55"/>
    <x v="1"/>
    <s v="Travel_Rarely"/>
    <n v="478"/>
    <x v="1"/>
    <n v="2"/>
    <n v="3"/>
    <s v="Medical"/>
    <n v="1"/>
    <n v="1770"/>
    <n v="3"/>
    <x v="1"/>
    <n v="60"/>
    <n v="2"/>
    <n v="5"/>
    <s v="Research Director"/>
    <n v="1"/>
    <s v="Married"/>
    <x v="8"/>
    <n v="19038"/>
    <n v="19805"/>
    <n v="8"/>
    <s v="Yes"/>
    <s v="No"/>
    <n v="12"/>
    <x v="0"/>
    <n v="2"/>
    <n v="80"/>
    <n v="3"/>
    <n v="34"/>
    <n v="2"/>
    <n v="3"/>
    <n v="1"/>
    <n v="0"/>
    <x v="0"/>
    <n v="0"/>
  </r>
  <r>
    <n v="33"/>
    <x v="1"/>
    <s v="Non-Travel"/>
    <n v="775"/>
    <x v="1"/>
    <n v="4"/>
    <n v="3"/>
    <s v="Technical Degree"/>
    <n v="1"/>
    <n v="1771"/>
    <n v="4"/>
    <x v="1"/>
    <n v="90"/>
    <n v="3"/>
    <n v="2"/>
    <s v="Research Scientist"/>
    <n v="2"/>
    <s v="Divorced"/>
    <x v="2"/>
    <n v="3055"/>
    <n v="6194"/>
    <n v="5"/>
    <s v="Yes"/>
    <s v="No"/>
    <n v="15"/>
    <x v="0"/>
    <n v="4"/>
    <n v="80"/>
    <n v="2"/>
    <n v="11"/>
    <n v="2"/>
    <n v="2"/>
    <n v="9"/>
    <n v="8"/>
    <x v="1"/>
    <n v="7"/>
  </r>
  <r>
    <n v="41"/>
    <x v="1"/>
    <s v="Travel_Rarely"/>
    <n v="548"/>
    <x v="1"/>
    <n v="9"/>
    <n v="4"/>
    <s v="Life Sciences"/>
    <n v="1"/>
    <n v="1772"/>
    <n v="3"/>
    <x v="1"/>
    <n v="94"/>
    <n v="3"/>
    <n v="1"/>
    <s v="Laboratory Technician"/>
    <n v="1"/>
    <s v="Divorced"/>
    <x v="1"/>
    <n v="2289"/>
    <n v="20520"/>
    <n v="1"/>
    <s v="Yes"/>
    <s v="No"/>
    <n v="20"/>
    <x v="1"/>
    <n v="2"/>
    <n v="80"/>
    <n v="2"/>
    <n v="5"/>
    <n v="2"/>
    <n v="3"/>
    <n v="5"/>
    <n v="3"/>
    <x v="0"/>
    <n v="4"/>
  </r>
  <r>
    <n v="34"/>
    <x v="1"/>
    <s v="Non-Travel"/>
    <n v="1375"/>
    <x v="0"/>
    <n v="10"/>
    <n v="3"/>
    <s v="Life Sciences"/>
    <n v="1"/>
    <n v="1774"/>
    <n v="4"/>
    <x v="1"/>
    <n v="87"/>
    <n v="3"/>
    <n v="2"/>
    <s v="Sales Executive"/>
    <n v="3"/>
    <s v="Divorced"/>
    <x v="4"/>
    <n v="4001"/>
    <n v="12313"/>
    <n v="1"/>
    <s v="Yes"/>
    <s v="Yes"/>
    <n v="14"/>
    <x v="0"/>
    <n v="3"/>
    <n v="80"/>
    <n v="1"/>
    <n v="15"/>
    <n v="3"/>
    <n v="3"/>
    <n v="15"/>
    <n v="14"/>
    <x v="0"/>
    <n v="7"/>
  </r>
  <r>
    <n v="53"/>
    <x v="1"/>
    <s v="Non-Travel"/>
    <n v="661"/>
    <x v="1"/>
    <n v="1"/>
    <n v="4"/>
    <s v="Medical"/>
    <n v="1"/>
    <n v="1775"/>
    <n v="1"/>
    <x v="0"/>
    <n v="60"/>
    <n v="2"/>
    <n v="4"/>
    <s v="Manufacturing Director"/>
    <n v="3"/>
    <s v="Married"/>
    <x v="18"/>
    <n v="12965"/>
    <n v="22308"/>
    <n v="4"/>
    <s v="Yes"/>
    <s v="Yes"/>
    <n v="20"/>
    <x v="1"/>
    <n v="4"/>
    <n v="80"/>
    <n v="3"/>
    <n v="27"/>
    <n v="2"/>
    <n v="2"/>
    <n v="3"/>
    <n v="2"/>
    <x v="0"/>
    <n v="2"/>
  </r>
  <r>
    <n v="43"/>
    <x v="1"/>
    <s v="Travel_Rarely"/>
    <n v="244"/>
    <x v="2"/>
    <n v="2"/>
    <n v="3"/>
    <s v="Life Sciences"/>
    <n v="1"/>
    <n v="1778"/>
    <n v="2"/>
    <x v="1"/>
    <n v="97"/>
    <n v="3"/>
    <n v="1"/>
    <s v="Human Resources"/>
    <n v="4"/>
    <s v="Single"/>
    <x v="2"/>
    <n v="3539"/>
    <n v="5033"/>
    <n v="0"/>
    <s v="Yes"/>
    <s v="No"/>
    <n v="13"/>
    <x v="0"/>
    <n v="2"/>
    <n v="80"/>
    <n v="0"/>
    <n v="10"/>
    <n v="5"/>
    <n v="3"/>
    <n v="9"/>
    <n v="7"/>
    <x v="1"/>
    <n v="8"/>
  </r>
  <r>
    <n v="34"/>
    <x v="1"/>
    <s v="Travel_Rarely"/>
    <n v="511"/>
    <x v="0"/>
    <n v="3"/>
    <n v="2"/>
    <s v="Life Sciences"/>
    <n v="1"/>
    <n v="1779"/>
    <n v="4"/>
    <x v="0"/>
    <n v="32"/>
    <n v="1"/>
    <n v="2"/>
    <s v="Sales Executive"/>
    <n v="4"/>
    <s v="Single"/>
    <x v="9"/>
    <n v="6029"/>
    <n v="25353"/>
    <n v="5"/>
    <s v="Yes"/>
    <s v="No"/>
    <n v="12"/>
    <x v="0"/>
    <n v="1"/>
    <n v="80"/>
    <n v="0"/>
    <n v="6"/>
    <n v="3"/>
    <n v="3"/>
    <n v="2"/>
    <n v="2"/>
    <x v="3"/>
    <n v="2"/>
  </r>
  <r>
    <n v="21"/>
    <x v="0"/>
    <s v="Travel_Rarely"/>
    <n v="337"/>
    <x v="0"/>
    <n v="7"/>
    <n v="1"/>
    <s v="Marketing"/>
    <n v="1"/>
    <n v="1780"/>
    <n v="2"/>
    <x v="1"/>
    <n v="31"/>
    <n v="3"/>
    <n v="1"/>
    <s v="Sales Representative"/>
    <n v="2"/>
    <s v="Single"/>
    <x v="1"/>
    <n v="2679"/>
    <n v="4567"/>
    <n v="1"/>
    <s v="Yes"/>
    <s v="No"/>
    <n v="13"/>
    <x v="0"/>
    <n v="2"/>
    <n v="80"/>
    <n v="0"/>
    <n v="1"/>
    <n v="3"/>
    <n v="3"/>
    <n v="1"/>
    <n v="0"/>
    <x v="1"/>
    <n v="0"/>
  </r>
  <r>
    <n v="38"/>
    <x v="1"/>
    <s v="Travel_Rarely"/>
    <n v="1153"/>
    <x v="1"/>
    <n v="6"/>
    <n v="2"/>
    <s v="Other"/>
    <n v="1"/>
    <n v="1782"/>
    <n v="4"/>
    <x v="0"/>
    <n v="40"/>
    <n v="2"/>
    <n v="1"/>
    <s v="Laboratory Technician"/>
    <n v="3"/>
    <s v="Married"/>
    <x v="2"/>
    <n v="3702"/>
    <n v="16376"/>
    <n v="1"/>
    <s v="Yes"/>
    <s v="No"/>
    <n v="11"/>
    <x v="0"/>
    <n v="2"/>
    <n v="80"/>
    <n v="1"/>
    <n v="5"/>
    <n v="3"/>
    <n v="3"/>
    <n v="5"/>
    <n v="4"/>
    <x v="0"/>
    <n v="4"/>
  </r>
  <r>
    <n v="22"/>
    <x v="0"/>
    <s v="Travel_Rarely"/>
    <n v="1294"/>
    <x v="1"/>
    <n v="8"/>
    <n v="1"/>
    <s v="Medical"/>
    <n v="1"/>
    <n v="1783"/>
    <n v="3"/>
    <x v="0"/>
    <n v="79"/>
    <n v="3"/>
    <n v="1"/>
    <s v="Laboratory Technician"/>
    <n v="1"/>
    <s v="Married"/>
    <x v="1"/>
    <n v="2398"/>
    <n v="15999"/>
    <n v="1"/>
    <s v="Yes"/>
    <s v="Yes"/>
    <n v="17"/>
    <x v="0"/>
    <n v="3"/>
    <n v="80"/>
    <n v="0"/>
    <n v="1"/>
    <n v="6"/>
    <n v="3"/>
    <n v="1"/>
    <n v="0"/>
    <x v="0"/>
    <n v="0"/>
  </r>
  <r>
    <n v="31"/>
    <x v="1"/>
    <s v="Travel_Rarely"/>
    <n v="196"/>
    <x v="0"/>
    <n v="29"/>
    <n v="4"/>
    <s v="Marketing"/>
    <n v="1"/>
    <n v="1784"/>
    <n v="1"/>
    <x v="0"/>
    <n v="91"/>
    <n v="2"/>
    <n v="2"/>
    <s v="Sales Executive"/>
    <n v="4"/>
    <s v="Married"/>
    <x v="0"/>
    <n v="5468"/>
    <n v="13402"/>
    <n v="1"/>
    <s v="Yes"/>
    <s v="No"/>
    <n v="14"/>
    <x v="0"/>
    <n v="1"/>
    <n v="80"/>
    <n v="2"/>
    <n v="13"/>
    <n v="3"/>
    <n v="3"/>
    <n v="12"/>
    <n v="7"/>
    <x v="8"/>
    <n v="7"/>
  </r>
  <r>
    <n v="51"/>
    <x v="1"/>
    <s v="Travel_Rarely"/>
    <n v="942"/>
    <x v="1"/>
    <n v="3"/>
    <n v="3"/>
    <s v="Technical Degree"/>
    <n v="1"/>
    <n v="1786"/>
    <n v="1"/>
    <x v="0"/>
    <n v="53"/>
    <n v="3"/>
    <n v="3"/>
    <s v="Manager"/>
    <n v="3"/>
    <s v="Married"/>
    <x v="13"/>
    <n v="13116"/>
    <n v="22984"/>
    <n v="2"/>
    <s v="Yes"/>
    <s v="No"/>
    <n v="11"/>
    <x v="0"/>
    <n v="4"/>
    <n v="80"/>
    <n v="0"/>
    <n v="15"/>
    <n v="2"/>
    <n v="3"/>
    <n v="2"/>
    <n v="2"/>
    <x v="3"/>
    <n v="2"/>
  </r>
  <r>
    <n v="37"/>
    <x v="1"/>
    <s v="Travel_Rarely"/>
    <n v="589"/>
    <x v="0"/>
    <n v="9"/>
    <n v="2"/>
    <s v="Marketing"/>
    <n v="1"/>
    <n v="1787"/>
    <n v="2"/>
    <x v="1"/>
    <n v="46"/>
    <n v="2"/>
    <n v="2"/>
    <s v="Sales Executive"/>
    <n v="2"/>
    <s v="Married"/>
    <x v="4"/>
    <n v="4189"/>
    <n v="8800"/>
    <n v="1"/>
    <s v="Yes"/>
    <s v="No"/>
    <n v="14"/>
    <x v="0"/>
    <n v="1"/>
    <n v="80"/>
    <n v="2"/>
    <n v="5"/>
    <n v="2"/>
    <n v="3"/>
    <n v="5"/>
    <n v="2"/>
    <x v="0"/>
    <n v="3"/>
  </r>
  <r>
    <n v="46"/>
    <x v="1"/>
    <s v="Travel_Rarely"/>
    <n v="734"/>
    <x v="1"/>
    <n v="2"/>
    <n v="4"/>
    <s v="Medical"/>
    <n v="1"/>
    <n v="1789"/>
    <n v="3"/>
    <x v="1"/>
    <n v="46"/>
    <n v="3"/>
    <n v="5"/>
    <s v="Research Director"/>
    <n v="4"/>
    <s v="Divorced"/>
    <x v="8"/>
    <n v="19328"/>
    <n v="14218"/>
    <n v="7"/>
    <s v="Yes"/>
    <s v="Yes"/>
    <n v="17"/>
    <x v="0"/>
    <n v="3"/>
    <n v="80"/>
    <n v="1"/>
    <n v="24"/>
    <n v="3"/>
    <n v="3"/>
    <n v="2"/>
    <n v="1"/>
    <x v="3"/>
    <n v="2"/>
  </r>
  <r>
    <n v="36"/>
    <x v="1"/>
    <s v="Travel_Rarely"/>
    <n v="1383"/>
    <x v="1"/>
    <n v="10"/>
    <n v="3"/>
    <s v="Life Sciences"/>
    <n v="1"/>
    <n v="1790"/>
    <n v="4"/>
    <x v="1"/>
    <n v="90"/>
    <n v="3"/>
    <n v="3"/>
    <s v="Healthcare Representative"/>
    <n v="1"/>
    <s v="Married"/>
    <x v="12"/>
    <n v="8321"/>
    <n v="25949"/>
    <n v="7"/>
    <s v="Yes"/>
    <s v="Yes"/>
    <n v="13"/>
    <x v="0"/>
    <n v="4"/>
    <n v="80"/>
    <n v="1"/>
    <n v="15"/>
    <n v="1"/>
    <n v="3"/>
    <n v="12"/>
    <n v="8"/>
    <x v="8"/>
    <n v="7"/>
  </r>
  <r>
    <n v="44"/>
    <x v="0"/>
    <s v="Travel_Frequently"/>
    <n v="429"/>
    <x v="1"/>
    <n v="1"/>
    <n v="2"/>
    <s v="Medical"/>
    <n v="1"/>
    <n v="1792"/>
    <n v="3"/>
    <x v="1"/>
    <n v="99"/>
    <n v="3"/>
    <n v="1"/>
    <s v="Research Scientist"/>
    <n v="2"/>
    <s v="Divorced"/>
    <x v="1"/>
    <n v="2342"/>
    <n v="11092"/>
    <n v="1"/>
    <s v="Yes"/>
    <s v="Yes"/>
    <n v="12"/>
    <x v="0"/>
    <n v="3"/>
    <n v="80"/>
    <n v="3"/>
    <n v="6"/>
    <n v="2"/>
    <n v="2"/>
    <n v="5"/>
    <n v="3"/>
    <x v="3"/>
    <n v="3"/>
  </r>
  <r>
    <n v="37"/>
    <x v="1"/>
    <s v="Travel_Rarely"/>
    <n v="1239"/>
    <x v="2"/>
    <n v="8"/>
    <n v="2"/>
    <s v="Other"/>
    <n v="1"/>
    <n v="1794"/>
    <n v="3"/>
    <x v="1"/>
    <n v="89"/>
    <n v="3"/>
    <n v="2"/>
    <s v="Human Resources"/>
    <n v="2"/>
    <s v="Divorced"/>
    <x v="4"/>
    <n v="4071"/>
    <n v="12832"/>
    <n v="2"/>
    <s v="Yes"/>
    <s v="No"/>
    <n v="13"/>
    <x v="0"/>
    <n v="3"/>
    <n v="80"/>
    <n v="0"/>
    <n v="19"/>
    <n v="4"/>
    <n v="2"/>
    <n v="10"/>
    <n v="0"/>
    <x v="5"/>
    <n v="7"/>
  </r>
  <r>
    <n v="35"/>
    <x v="0"/>
    <s v="Travel_Rarely"/>
    <n v="303"/>
    <x v="0"/>
    <n v="27"/>
    <n v="3"/>
    <s v="Life Sciences"/>
    <n v="1"/>
    <n v="1797"/>
    <n v="3"/>
    <x v="1"/>
    <n v="84"/>
    <n v="3"/>
    <n v="2"/>
    <s v="Sales Executive"/>
    <n v="4"/>
    <s v="Single"/>
    <x v="0"/>
    <n v="5813"/>
    <n v="13492"/>
    <n v="1"/>
    <s v="Yes"/>
    <s v="Yes"/>
    <n v="18"/>
    <x v="0"/>
    <n v="4"/>
    <n v="80"/>
    <n v="0"/>
    <n v="10"/>
    <n v="2"/>
    <n v="3"/>
    <n v="10"/>
    <n v="7"/>
    <x v="4"/>
    <n v="7"/>
  </r>
  <r>
    <n v="33"/>
    <x v="1"/>
    <s v="Travel_Rarely"/>
    <n v="867"/>
    <x v="1"/>
    <n v="8"/>
    <n v="4"/>
    <s v="Life Sciences"/>
    <n v="1"/>
    <n v="1798"/>
    <n v="4"/>
    <x v="1"/>
    <n v="90"/>
    <n v="4"/>
    <n v="1"/>
    <s v="Research Scientist"/>
    <n v="1"/>
    <s v="Married"/>
    <x v="2"/>
    <n v="3143"/>
    <n v="6076"/>
    <n v="6"/>
    <s v="Yes"/>
    <s v="No"/>
    <n v="19"/>
    <x v="0"/>
    <n v="2"/>
    <n v="80"/>
    <n v="1"/>
    <n v="14"/>
    <n v="1"/>
    <n v="3"/>
    <n v="10"/>
    <n v="8"/>
    <x v="4"/>
    <n v="6"/>
  </r>
  <r>
    <n v="28"/>
    <x v="1"/>
    <s v="Travel_Rarely"/>
    <n v="1181"/>
    <x v="1"/>
    <n v="1"/>
    <n v="3"/>
    <s v="Life Sciences"/>
    <n v="1"/>
    <n v="1799"/>
    <n v="3"/>
    <x v="1"/>
    <n v="82"/>
    <n v="3"/>
    <n v="1"/>
    <s v="Research Scientist"/>
    <n v="4"/>
    <s v="Married"/>
    <x v="1"/>
    <n v="2044"/>
    <n v="5531"/>
    <n v="1"/>
    <s v="Yes"/>
    <s v="No"/>
    <n v="11"/>
    <x v="0"/>
    <n v="3"/>
    <n v="80"/>
    <n v="1"/>
    <n v="5"/>
    <n v="6"/>
    <n v="4"/>
    <n v="5"/>
    <n v="3"/>
    <x v="0"/>
    <n v="3"/>
  </r>
  <r>
    <n v="39"/>
    <x v="1"/>
    <s v="Travel_Rarely"/>
    <n v="1253"/>
    <x v="1"/>
    <n v="10"/>
    <n v="1"/>
    <s v="Medical"/>
    <n v="1"/>
    <n v="1800"/>
    <n v="3"/>
    <x v="1"/>
    <n v="65"/>
    <n v="3"/>
    <n v="3"/>
    <s v="Research Director"/>
    <n v="3"/>
    <s v="Single"/>
    <x v="13"/>
    <n v="13464"/>
    <n v="7914"/>
    <n v="7"/>
    <s v="Yes"/>
    <s v="No"/>
    <n v="21"/>
    <x v="1"/>
    <n v="3"/>
    <n v="80"/>
    <n v="0"/>
    <n v="9"/>
    <n v="3"/>
    <n v="3"/>
    <n v="4"/>
    <n v="3"/>
    <x v="3"/>
    <n v="2"/>
  </r>
  <r>
    <n v="46"/>
    <x v="1"/>
    <s v="Non-Travel"/>
    <n v="849"/>
    <x v="0"/>
    <n v="26"/>
    <n v="2"/>
    <s v="Life Sciences"/>
    <n v="1"/>
    <n v="1801"/>
    <n v="2"/>
    <x v="1"/>
    <n v="98"/>
    <n v="2"/>
    <n v="2"/>
    <s v="Sales Executive"/>
    <n v="2"/>
    <s v="Single"/>
    <x v="14"/>
    <n v="7991"/>
    <n v="25166"/>
    <n v="8"/>
    <s v="Yes"/>
    <s v="No"/>
    <n v="15"/>
    <x v="0"/>
    <n v="3"/>
    <n v="80"/>
    <n v="0"/>
    <n v="6"/>
    <n v="3"/>
    <n v="3"/>
    <n v="2"/>
    <n v="2"/>
    <x v="3"/>
    <n v="2"/>
  </r>
  <r>
    <n v="40"/>
    <x v="1"/>
    <s v="Travel_Rarely"/>
    <n v="616"/>
    <x v="1"/>
    <n v="2"/>
    <n v="2"/>
    <s v="Life Sciences"/>
    <n v="1"/>
    <n v="1802"/>
    <n v="3"/>
    <x v="0"/>
    <n v="99"/>
    <n v="3"/>
    <n v="1"/>
    <s v="Laboratory Technician"/>
    <n v="1"/>
    <s v="Married"/>
    <x v="2"/>
    <n v="3377"/>
    <n v="25605"/>
    <n v="4"/>
    <s v="Yes"/>
    <s v="No"/>
    <n v="17"/>
    <x v="0"/>
    <n v="4"/>
    <n v="80"/>
    <n v="1"/>
    <n v="7"/>
    <n v="5"/>
    <n v="2"/>
    <n v="4"/>
    <n v="3"/>
    <x v="0"/>
    <n v="2"/>
  </r>
  <r>
    <n v="42"/>
    <x v="1"/>
    <s v="Travel_Rarely"/>
    <n v="1128"/>
    <x v="1"/>
    <n v="13"/>
    <n v="3"/>
    <s v="Medical"/>
    <n v="1"/>
    <n v="1803"/>
    <n v="2"/>
    <x v="1"/>
    <n v="95"/>
    <n v="4"/>
    <n v="2"/>
    <s v="Healthcare Representative"/>
    <n v="1"/>
    <s v="Married"/>
    <x v="0"/>
    <n v="5538"/>
    <n v="5696"/>
    <n v="5"/>
    <s v="Yes"/>
    <s v="No"/>
    <n v="18"/>
    <x v="0"/>
    <n v="3"/>
    <n v="80"/>
    <n v="2"/>
    <n v="10"/>
    <n v="2"/>
    <n v="2"/>
    <n v="0"/>
    <n v="0"/>
    <x v="0"/>
    <n v="0"/>
  </r>
  <r>
    <n v="35"/>
    <x v="1"/>
    <s v="Non-Travel"/>
    <n v="1180"/>
    <x v="1"/>
    <n v="2"/>
    <n v="2"/>
    <s v="Medical"/>
    <n v="1"/>
    <n v="1804"/>
    <n v="2"/>
    <x v="1"/>
    <n v="90"/>
    <n v="3"/>
    <n v="2"/>
    <s v="Manufacturing Director"/>
    <n v="4"/>
    <s v="Divorced"/>
    <x v="0"/>
    <n v="5762"/>
    <n v="24442"/>
    <n v="2"/>
    <s v="Yes"/>
    <s v="No"/>
    <n v="14"/>
    <x v="0"/>
    <n v="3"/>
    <n v="80"/>
    <n v="1"/>
    <n v="15"/>
    <n v="6"/>
    <n v="3"/>
    <n v="7"/>
    <n v="7"/>
    <x v="1"/>
    <n v="7"/>
  </r>
  <r>
    <n v="38"/>
    <x v="1"/>
    <s v="Non-Travel"/>
    <n v="1336"/>
    <x v="2"/>
    <n v="2"/>
    <n v="3"/>
    <s v="Human Resources"/>
    <n v="1"/>
    <n v="1805"/>
    <n v="1"/>
    <x v="1"/>
    <n v="100"/>
    <n v="3"/>
    <n v="1"/>
    <s v="Human Resources"/>
    <n v="2"/>
    <s v="Divorced"/>
    <x v="1"/>
    <n v="2592"/>
    <n v="7129"/>
    <n v="5"/>
    <s v="Yes"/>
    <s v="No"/>
    <n v="13"/>
    <x v="0"/>
    <n v="4"/>
    <n v="80"/>
    <n v="3"/>
    <n v="13"/>
    <n v="3"/>
    <n v="3"/>
    <n v="11"/>
    <n v="10"/>
    <x v="2"/>
    <n v="8"/>
  </r>
  <r>
    <n v="34"/>
    <x v="0"/>
    <s v="Travel_Frequently"/>
    <n v="234"/>
    <x v="1"/>
    <n v="9"/>
    <n v="4"/>
    <s v="Life Sciences"/>
    <n v="1"/>
    <n v="1807"/>
    <n v="4"/>
    <x v="1"/>
    <n v="93"/>
    <n v="3"/>
    <n v="2"/>
    <s v="Laboratory Technician"/>
    <n v="1"/>
    <s v="Married"/>
    <x v="0"/>
    <n v="5346"/>
    <n v="6208"/>
    <n v="4"/>
    <s v="Yes"/>
    <s v="No"/>
    <n v="17"/>
    <x v="0"/>
    <n v="3"/>
    <n v="80"/>
    <n v="1"/>
    <n v="11"/>
    <n v="3"/>
    <n v="2"/>
    <n v="7"/>
    <n v="1"/>
    <x v="0"/>
    <n v="7"/>
  </r>
  <r>
    <n v="37"/>
    <x v="0"/>
    <s v="Travel_Rarely"/>
    <n v="370"/>
    <x v="1"/>
    <n v="10"/>
    <n v="4"/>
    <s v="Medical"/>
    <n v="1"/>
    <n v="1809"/>
    <n v="4"/>
    <x v="1"/>
    <n v="58"/>
    <n v="3"/>
    <n v="2"/>
    <s v="Manufacturing Director"/>
    <n v="1"/>
    <s v="Single"/>
    <x v="4"/>
    <n v="4213"/>
    <n v="4992"/>
    <n v="1"/>
    <s v="Yes"/>
    <s v="No"/>
    <n v="15"/>
    <x v="0"/>
    <n v="2"/>
    <n v="80"/>
    <n v="0"/>
    <n v="10"/>
    <n v="4"/>
    <n v="1"/>
    <n v="10"/>
    <n v="3"/>
    <x v="0"/>
    <n v="8"/>
  </r>
  <r>
    <n v="39"/>
    <x v="1"/>
    <s v="Travel_Frequently"/>
    <n v="766"/>
    <x v="0"/>
    <n v="20"/>
    <n v="3"/>
    <s v="Life Sciences"/>
    <n v="1"/>
    <n v="1812"/>
    <n v="3"/>
    <x v="1"/>
    <n v="83"/>
    <n v="3"/>
    <n v="2"/>
    <s v="Sales Executive"/>
    <n v="4"/>
    <s v="Divorced"/>
    <x v="4"/>
    <n v="4127"/>
    <n v="19188"/>
    <n v="2"/>
    <s v="Yes"/>
    <s v="No"/>
    <n v="18"/>
    <x v="0"/>
    <n v="4"/>
    <n v="80"/>
    <n v="1"/>
    <n v="7"/>
    <n v="6"/>
    <n v="3"/>
    <n v="2"/>
    <n v="1"/>
    <x v="3"/>
    <n v="2"/>
  </r>
  <r>
    <n v="43"/>
    <x v="1"/>
    <s v="Non-Travel"/>
    <n v="343"/>
    <x v="1"/>
    <n v="9"/>
    <n v="3"/>
    <s v="Life Sciences"/>
    <n v="1"/>
    <n v="1813"/>
    <n v="1"/>
    <x v="1"/>
    <n v="52"/>
    <n v="3"/>
    <n v="1"/>
    <s v="Research Scientist"/>
    <n v="3"/>
    <s v="Single"/>
    <x v="1"/>
    <n v="2438"/>
    <n v="24978"/>
    <n v="4"/>
    <s v="Yes"/>
    <s v="No"/>
    <n v="13"/>
    <x v="0"/>
    <n v="3"/>
    <n v="80"/>
    <n v="0"/>
    <n v="7"/>
    <n v="2"/>
    <n v="2"/>
    <n v="3"/>
    <n v="2"/>
    <x v="1"/>
    <n v="2"/>
  </r>
  <r>
    <n v="41"/>
    <x v="1"/>
    <s v="Travel_Rarely"/>
    <n v="447"/>
    <x v="1"/>
    <n v="5"/>
    <n v="3"/>
    <s v="Life Sciences"/>
    <n v="1"/>
    <n v="1814"/>
    <n v="2"/>
    <x v="1"/>
    <n v="85"/>
    <n v="4"/>
    <n v="2"/>
    <s v="Healthcare Representative"/>
    <n v="2"/>
    <s v="Single"/>
    <x v="9"/>
    <n v="6870"/>
    <n v="15530"/>
    <n v="3"/>
    <s v="Yes"/>
    <s v="No"/>
    <n v="12"/>
    <x v="0"/>
    <n v="1"/>
    <n v="80"/>
    <n v="0"/>
    <n v="11"/>
    <n v="3"/>
    <n v="1"/>
    <n v="3"/>
    <n v="2"/>
    <x v="1"/>
    <n v="2"/>
  </r>
  <r>
    <n v="41"/>
    <x v="1"/>
    <s v="Travel_Rarely"/>
    <n v="796"/>
    <x v="0"/>
    <n v="4"/>
    <n v="1"/>
    <s v="Marketing"/>
    <n v="1"/>
    <n v="1815"/>
    <n v="3"/>
    <x v="0"/>
    <n v="81"/>
    <n v="3"/>
    <n v="3"/>
    <s v="Sales Executive"/>
    <n v="3"/>
    <s v="Divorced"/>
    <x v="10"/>
    <n v="10447"/>
    <n v="26458"/>
    <n v="0"/>
    <s v="Yes"/>
    <s v="Yes"/>
    <n v="13"/>
    <x v="0"/>
    <n v="4"/>
    <n v="80"/>
    <n v="1"/>
    <n v="23"/>
    <n v="3"/>
    <n v="4"/>
    <n v="22"/>
    <n v="14"/>
    <x v="11"/>
    <n v="5"/>
  </r>
  <r>
    <n v="30"/>
    <x v="1"/>
    <s v="Travel_Rarely"/>
    <n v="1092"/>
    <x v="1"/>
    <n v="10"/>
    <n v="3"/>
    <s v="Medical"/>
    <n v="1"/>
    <n v="1816"/>
    <n v="1"/>
    <x v="0"/>
    <n v="64"/>
    <n v="3"/>
    <n v="3"/>
    <s v="Manufacturing Director"/>
    <n v="3"/>
    <s v="Single"/>
    <x v="3"/>
    <n v="9667"/>
    <n v="2739"/>
    <n v="9"/>
    <s v="Yes"/>
    <s v="No"/>
    <n v="14"/>
    <x v="0"/>
    <n v="2"/>
    <n v="80"/>
    <n v="0"/>
    <n v="9"/>
    <n v="3"/>
    <n v="3"/>
    <n v="7"/>
    <n v="7"/>
    <x v="0"/>
    <n v="2"/>
  </r>
  <r>
    <n v="26"/>
    <x v="0"/>
    <s v="Travel_Rarely"/>
    <n v="920"/>
    <x v="2"/>
    <n v="20"/>
    <n v="2"/>
    <s v="Medical"/>
    <n v="1"/>
    <n v="1818"/>
    <n v="4"/>
    <x v="0"/>
    <n v="69"/>
    <n v="3"/>
    <n v="1"/>
    <s v="Human Resources"/>
    <n v="2"/>
    <s v="Married"/>
    <x v="1"/>
    <n v="2148"/>
    <n v="6889"/>
    <n v="0"/>
    <s v="Yes"/>
    <s v="Yes"/>
    <n v="11"/>
    <x v="0"/>
    <n v="3"/>
    <n v="80"/>
    <n v="0"/>
    <n v="6"/>
    <n v="3"/>
    <n v="3"/>
    <n v="5"/>
    <n v="1"/>
    <x v="1"/>
    <n v="4"/>
  </r>
  <r>
    <n v="46"/>
    <x v="0"/>
    <s v="Travel_Rarely"/>
    <n v="261"/>
    <x v="1"/>
    <n v="21"/>
    <n v="2"/>
    <s v="Medical"/>
    <n v="1"/>
    <n v="1821"/>
    <n v="4"/>
    <x v="0"/>
    <n v="66"/>
    <n v="3"/>
    <n v="2"/>
    <s v="Healthcare Representative"/>
    <n v="2"/>
    <s v="Married"/>
    <x v="12"/>
    <n v="8926"/>
    <n v="10842"/>
    <n v="4"/>
    <s v="Yes"/>
    <s v="No"/>
    <n v="22"/>
    <x v="1"/>
    <n v="4"/>
    <n v="80"/>
    <n v="1"/>
    <n v="13"/>
    <n v="2"/>
    <n v="4"/>
    <n v="9"/>
    <n v="7"/>
    <x v="2"/>
    <n v="7"/>
  </r>
  <r>
    <n v="40"/>
    <x v="1"/>
    <s v="Travel_Rarely"/>
    <n v="1194"/>
    <x v="1"/>
    <n v="1"/>
    <n v="3"/>
    <s v="Life Sciences"/>
    <n v="1"/>
    <n v="1822"/>
    <n v="3"/>
    <x v="0"/>
    <n v="52"/>
    <n v="3"/>
    <n v="2"/>
    <s v="Healthcare Representative"/>
    <n v="4"/>
    <s v="Divorced"/>
    <x v="9"/>
    <n v="6513"/>
    <n v="9060"/>
    <n v="4"/>
    <s v="Yes"/>
    <s v="No"/>
    <n v="17"/>
    <x v="0"/>
    <n v="4"/>
    <n v="80"/>
    <n v="1"/>
    <n v="12"/>
    <n v="3"/>
    <n v="3"/>
    <n v="5"/>
    <n v="3"/>
    <x v="0"/>
    <n v="3"/>
  </r>
  <r>
    <n v="34"/>
    <x v="1"/>
    <s v="Travel_Rarely"/>
    <n v="810"/>
    <x v="0"/>
    <n v="8"/>
    <n v="2"/>
    <s v="Technical Degree"/>
    <n v="1"/>
    <n v="1823"/>
    <n v="2"/>
    <x v="1"/>
    <n v="92"/>
    <n v="4"/>
    <n v="2"/>
    <s v="Sales Executive"/>
    <n v="3"/>
    <s v="Married"/>
    <x v="9"/>
    <n v="6799"/>
    <n v="22128"/>
    <n v="1"/>
    <s v="Yes"/>
    <s v="No"/>
    <n v="21"/>
    <x v="1"/>
    <n v="3"/>
    <n v="80"/>
    <n v="2"/>
    <n v="10"/>
    <n v="5"/>
    <n v="3"/>
    <n v="10"/>
    <n v="8"/>
    <x v="5"/>
    <n v="8"/>
  </r>
  <r>
    <n v="58"/>
    <x v="1"/>
    <s v="Non-Travel"/>
    <n v="350"/>
    <x v="0"/>
    <n v="2"/>
    <n v="3"/>
    <s v="Medical"/>
    <n v="1"/>
    <n v="1824"/>
    <n v="2"/>
    <x v="1"/>
    <n v="52"/>
    <n v="3"/>
    <n v="4"/>
    <s v="Manager"/>
    <n v="2"/>
    <s v="Divorced"/>
    <x v="17"/>
    <n v="16291"/>
    <n v="22577"/>
    <n v="4"/>
    <s v="Yes"/>
    <s v="No"/>
    <n v="22"/>
    <x v="1"/>
    <n v="4"/>
    <n v="80"/>
    <n v="1"/>
    <n v="37"/>
    <n v="0"/>
    <n v="2"/>
    <n v="16"/>
    <n v="9"/>
    <x v="15"/>
    <n v="14"/>
  </r>
  <r>
    <n v="35"/>
    <x v="1"/>
    <s v="Travel_Rarely"/>
    <n v="185"/>
    <x v="1"/>
    <n v="23"/>
    <n v="4"/>
    <s v="Medical"/>
    <n v="1"/>
    <n v="1826"/>
    <n v="2"/>
    <x v="1"/>
    <n v="91"/>
    <n v="1"/>
    <n v="1"/>
    <s v="Laboratory Technician"/>
    <n v="3"/>
    <s v="Married"/>
    <x v="1"/>
    <n v="2705"/>
    <n v="9696"/>
    <n v="0"/>
    <s v="Yes"/>
    <s v="No"/>
    <n v="16"/>
    <x v="0"/>
    <n v="2"/>
    <n v="80"/>
    <n v="1"/>
    <n v="6"/>
    <n v="2"/>
    <n v="4"/>
    <n v="5"/>
    <n v="4"/>
    <x v="0"/>
    <n v="3"/>
  </r>
  <r>
    <n v="47"/>
    <x v="1"/>
    <s v="Travel_Rarely"/>
    <n v="1001"/>
    <x v="1"/>
    <n v="4"/>
    <n v="3"/>
    <s v="Life Sciences"/>
    <n v="1"/>
    <n v="1827"/>
    <n v="3"/>
    <x v="0"/>
    <n v="92"/>
    <n v="2"/>
    <n v="3"/>
    <s v="Manufacturing Director"/>
    <n v="2"/>
    <s v="Divorced"/>
    <x v="10"/>
    <n v="10333"/>
    <n v="19271"/>
    <n v="8"/>
    <s v="Yes"/>
    <s v="Yes"/>
    <n v="12"/>
    <x v="0"/>
    <n v="3"/>
    <n v="80"/>
    <n v="1"/>
    <n v="28"/>
    <n v="4"/>
    <n v="3"/>
    <n v="22"/>
    <n v="11"/>
    <x v="15"/>
    <n v="10"/>
  </r>
  <r>
    <n v="40"/>
    <x v="1"/>
    <s v="Travel_Rarely"/>
    <n v="750"/>
    <x v="1"/>
    <n v="12"/>
    <n v="3"/>
    <s v="Life Sciences"/>
    <n v="1"/>
    <n v="1829"/>
    <n v="2"/>
    <x v="0"/>
    <n v="47"/>
    <n v="3"/>
    <n v="2"/>
    <s v="Healthcare Representative"/>
    <n v="1"/>
    <s v="Divorced"/>
    <x v="4"/>
    <n v="4448"/>
    <n v="10748"/>
    <n v="2"/>
    <s v="Yes"/>
    <s v="No"/>
    <n v="12"/>
    <x v="0"/>
    <n v="2"/>
    <n v="80"/>
    <n v="1"/>
    <n v="15"/>
    <n v="3"/>
    <n v="3"/>
    <n v="7"/>
    <n v="4"/>
    <x v="4"/>
    <n v="7"/>
  </r>
  <r>
    <n v="54"/>
    <x v="1"/>
    <s v="Travel_Rarely"/>
    <n v="431"/>
    <x v="1"/>
    <n v="7"/>
    <n v="4"/>
    <s v="Medical"/>
    <n v="1"/>
    <n v="1830"/>
    <n v="4"/>
    <x v="0"/>
    <n v="68"/>
    <n v="3"/>
    <n v="2"/>
    <s v="Research Scientist"/>
    <n v="4"/>
    <s v="Married"/>
    <x v="9"/>
    <n v="6854"/>
    <n v="15696"/>
    <n v="4"/>
    <s v="Yes"/>
    <s v="No"/>
    <n v="15"/>
    <x v="0"/>
    <n v="2"/>
    <n v="80"/>
    <n v="1"/>
    <n v="14"/>
    <n v="2"/>
    <n v="2"/>
    <n v="7"/>
    <n v="1"/>
    <x v="1"/>
    <n v="7"/>
  </r>
  <r>
    <n v="31"/>
    <x v="1"/>
    <s v="Travel_Frequently"/>
    <n v="1125"/>
    <x v="0"/>
    <n v="7"/>
    <n v="4"/>
    <s v="Marketing"/>
    <n v="1"/>
    <n v="1833"/>
    <n v="1"/>
    <x v="0"/>
    <n v="68"/>
    <n v="3"/>
    <n v="3"/>
    <s v="Sales Executive"/>
    <n v="1"/>
    <s v="Married"/>
    <x v="3"/>
    <n v="9637"/>
    <n v="8277"/>
    <n v="2"/>
    <s v="Yes"/>
    <s v="No"/>
    <n v="14"/>
    <x v="0"/>
    <n v="4"/>
    <n v="80"/>
    <n v="2"/>
    <n v="9"/>
    <n v="3"/>
    <n v="3"/>
    <n v="3"/>
    <n v="2"/>
    <x v="3"/>
    <n v="2"/>
  </r>
  <r>
    <n v="28"/>
    <x v="1"/>
    <s v="Travel_Rarely"/>
    <n v="1217"/>
    <x v="1"/>
    <n v="1"/>
    <n v="3"/>
    <s v="Medical"/>
    <n v="1"/>
    <n v="1834"/>
    <n v="3"/>
    <x v="0"/>
    <n v="67"/>
    <n v="3"/>
    <n v="1"/>
    <s v="Research Scientist"/>
    <n v="1"/>
    <s v="Married"/>
    <x v="2"/>
    <n v="3591"/>
    <n v="12719"/>
    <n v="1"/>
    <s v="Yes"/>
    <s v="No"/>
    <n v="25"/>
    <x v="1"/>
    <n v="3"/>
    <n v="80"/>
    <n v="1"/>
    <n v="3"/>
    <n v="3"/>
    <n v="3"/>
    <n v="3"/>
    <n v="2"/>
    <x v="1"/>
    <n v="2"/>
  </r>
  <r>
    <n v="38"/>
    <x v="1"/>
    <s v="Travel_Rarely"/>
    <n v="723"/>
    <x v="0"/>
    <n v="2"/>
    <n v="4"/>
    <s v="Marketing"/>
    <n v="1"/>
    <n v="1835"/>
    <n v="2"/>
    <x v="0"/>
    <n v="77"/>
    <n v="1"/>
    <n v="2"/>
    <s v="Sales Representative"/>
    <n v="4"/>
    <s v="Married"/>
    <x v="0"/>
    <n v="5405"/>
    <n v="4244"/>
    <n v="2"/>
    <s v="Yes"/>
    <s v="Yes"/>
    <n v="20"/>
    <x v="1"/>
    <n v="1"/>
    <n v="80"/>
    <n v="2"/>
    <n v="20"/>
    <n v="4"/>
    <n v="2"/>
    <n v="4"/>
    <n v="2"/>
    <x v="0"/>
    <n v="3"/>
  </r>
  <r>
    <n v="26"/>
    <x v="1"/>
    <s v="Travel_Rarely"/>
    <n v="572"/>
    <x v="0"/>
    <n v="10"/>
    <n v="3"/>
    <s v="Medical"/>
    <n v="1"/>
    <n v="1836"/>
    <n v="3"/>
    <x v="1"/>
    <n v="46"/>
    <n v="3"/>
    <n v="2"/>
    <s v="Sales Executive"/>
    <n v="4"/>
    <s v="Single"/>
    <x v="4"/>
    <n v="4684"/>
    <n v="9125"/>
    <n v="1"/>
    <s v="Yes"/>
    <s v="No"/>
    <n v="13"/>
    <x v="0"/>
    <n v="1"/>
    <n v="80"/>
    <n v="0"/>
    <n v="5"/>
    <n v="4"/>
    <n v="3"/>
    <n v="5"/>
    <n v="3"/>
    <x v="1"/>
    <n v="2"/>
  </r>
  <r>
    <n v="58"/>
    <x v="1"/>
    <s v="Travel_Frequently"/>
    <n v="1216"/>
    <x v="1"/>
    <n v="15"/>
    <n v="4"/>
    <s v="Life Sciences"/>
    <n v="1"/>
    <n v="1837"/>
    <n v="1"/>
    <x v="1"/>
    <n v="87"/>
    <n v="3"/>
    <n v="4"/>
    <s v="Research Director"/>
    <n v="3"/>
    <s v="Married"/>
    <x v="5"/>
    <n v="15787"/>
    <n v="21624"/>
    <n v="2"/>
    <s v="Yes"/>
    <s v="Yes"/>
    <n v="14"/>
    <x v="0"/>
    <n v="2"/>
    <n v="80"/>
    <n v="0"/>
    <n v="23"/>
    <n v="3"/>
    <n v="3"/>
    <n v="2"/>
    <n v="2"/>
    <x v="3"/>
    <n v="2"/>
  </r>
  <r>
    <n v="18"/>
    <x v="1"/>
    <s v="Non-Travel"/>
    <n v="1431"/>
    <x v="1"/>
    <n v="14"/>
    <n v="3"/>
    <s v="Medical"/>
    <n v="1"/>
    <n v="1839"/>
    <n v="2"/>
    <x v="0"/>
    <n v="33"/>
    <n v="3"/>
    <n v="1"/>
    <s v="Research Scientist"/>
    <n v="3"/>
    <s v="Single"/>
    <x v="7"/>
    <n v="1514"/>
    <n v="8018"/>
    <n v="1"/>
    <s v="Yes"/>
    <s v="No"/>
    <n v="16"/>
    <x v="0"/>
    <n v="3"/>
    <n v="80"/>
    <n v="0"/>
    <n v="0"/>
    <n v="4"/>
    <n v="1"/>
    <n v="0"/>
    <n v="0"/>
    <x v="0"/>
    <n v="0"/>
  </r>
  <r>
    <n v="31"/>
    <x v="0"/>
    <s v="Travel_Rarely"/>
    <n v="359"/>
    <x v="2"/>
    <n v="18"/>
    <n v="5"/>
    <s v="Human Resources"/>
    <n v="1"/>
    <n v="1842"/>
    <n v="4"/>
    <x v="1"/>
    <n v="89"/>
    <n v="4"/>
    <n v="1"/>
    <s v="Human Resources"/>
    <n v="1"/>
    <s v="Married"/>
    <x v="1"/>
    <n v="2956"/>
    <n v="21495"/>
    <n v="0"/>
    <s v="Yes"/>
    <s v="No"/>
    <n v="17"/>
    <x v="0"/>
    <n v="3"/>
    <n v="80"/>
    <n v="0"/>
    <n v="2"/>
    <n v="4"/>
    <n v="3"/>
    <n v="1"/>
    <n v="0"/>
    <x v="0"/>
    <n v="0"/>
  </r>
  <r>
    <n v="29"/>
    <x v="0"/>
    <s v="Travel_Rarely"/>
    <n v="350"/>
    <x v="2"/>
    <n v="13"/>
    <n v="3"/>
    <s v="Human Resources"/>
    <n v="1"/>
    <n v="1844"/>
    <n v="1"/>
    <x v="1"/>
    <n v="56"/>
    <n v="2"/>
    <n v="1"/>
    <s v="Human Resources"/>
    <n v="1"/>
    <s v="Divorced"/>
    <x v="1"/>
    <n v="2335"/>
    <n v="3157"/>
    <n v="4"/>
    <s v="Yes"/>
    <s v="Yes"/>
    <n v="15"/>
    <x v="0"/>
    <n v="4"/>
    <n v="80"/>
    <n v="3"/>
    <n v="4"/>
    <n v="3"/>
    <n v="3"/>
    <n v="2"/>
    <n v="2"/>
    <x v="3"/>
    <n v="0"/>
  </r>
  <r>
    <n v="45"/>
    <x v="1"/>
    <s v="Non-Travel"/>
    <n v="589"/>
    <x v="0"/>
    <n v="2"/>
    <n v="4"/>
    <s v="Life Sciences"/>
    <n v="1"/>
    <n v="1845"/>
    <n v="3"/>
    <x v="0"/>
    <n v="67"/>
    <n v="3"/>
    <n v="2"/>
    <s v="Sales Executive"/>
    <n v="3"/>
    <s v="Married"/>
    <x v="0"/>
    <n v="5154"/>
    <n v="19665"/>
    <n v="4"/>
    <s v="Yes"/>
    <s v="No"/>
    <n v="22"/>
    <x v="1"/>
    <n v="2"/>
    <n v="80"/>
    <n v="2"/>
    <n v="10"/>
    <n v="3"/>
    <n v="4"/>
    <n v="8"/>
    <n v="7"/>
    <x v="8"/>
    <n v="7"/>
  </r>
  <r>
    <n v="36"/>
    <x v="1"/>
    <s v="Travel_Rarely"/>
    <n v="430"/>
    <x v="1"/>
    <n v="2"/>
    <n v="4"/>
    <s v="Other"/>
    <n v="1"/>
    <n v="1847"/>
    <n v="4"/>
    <x v="0"/>
    <n v="73"/>
    <n v="3"/>
    <n v="2"/>
    <s v="Research Scientist"/>
    <n v="2"/>
    <s v="Married"/>
    <x v="9"/>
    <n v="6962"/>
    <n v="19573"/>
    <n v="4"/>
    <s v="Yes"/>
    <s v="Yes"/>
    <n v="22"/>
    <x v="1"/>
    <n v="4"/>
    <n v="80"/>
    <n v="1"/>
    <n v="15"/>
    <n v="2"/>
    <n v="3"/>
    <n v="1"/>
    <n v="0"/>
    <x v="0"/>
    <n v="0"/>
  </r>
  <r>
    <n v="43"/>
    <x v="1"/>
    <s v="Travel_Frequently"/>
    <n v="1422"/>
    <x v="0"/>
    <n v="2"/>
    <n v="4"/>
    <s v="Life Sciences"/>
    <n v="1"/>
    <n v="1849"/>
    <n v="1"/>
    <x v="1"/>
    <n v="92"/>
    <n v="3"/>
    <n v="2"/>
    <s v="Sales Executive"/>
    <n v="4"/>
    <s v="Married"/>
    <x v="0"/>
    <n v="5675"/>
    <n v="19246"/>
    <n v="1"/>
    <s v="Yes"/>
    <s v="No"/>
    <n v="20"/>
    <x v="1"/>
    <n v="3"/>
    <n v="80"/>
    <n v="1"/>
    <n v="7"/>
    <n v="5"/>
    <n v="3"/>
    <n v="7"/>
    <n v="7"/>
    <x v="4"/>
    <n v="7"/>
  </r>
  <r>
    <n v="27"/>
    <x v="1"/>
    <s v="Travel_Frequently"/>
    <n v="1297"/>
    <x v="1"/>
    <n v="5"/>
    <n v="2"/>
    <s v="Life Sciences"/>
    <n v="1"/>
    <n v="1850"/>
    <n v="4"/>
    <x v="0"/>
    <n v="53"/>
    <n v="3"/>
    <n v="1"/>
    <s v="Laboratory Technician"/>
    <n v="4"/>
    <s v="Single"/>
    <x v="1"/>
    <n v="2379"/>
    <n v="19826"/>
    <n v="0"/>
    <s v="Yes"/>
    <s v="Yes"/>
    <n v="14"/>
    <x v="0"/>
    <n v="3"/>
    <n v="80"/>
    <n v="0"/>
    <n v="6"/>
    <n v="3"/>
    <n v="2"/>
    <n v="5"/>
    <n v="4"/>
    <x v="0"/>
    <n v="2"/>
  </r>
  <r>
    <n v="29"/>
    <x v="1"/>
    <s v="Travel_Frequently"/>
    <n v="574"/>
    <x v="1"/>
    <n v="20"/>
    <n v="1"/>
    <s v="Medical"/>
    <n v="1"/>
    <n v="1852"/>
    <n v="4"/>
    <x v="1"/>
    <n v="40"/>
    <n v="3"/>
    <n v="1"/>
    <s v="Laboratory Technician"/>
    <n v="4"/>
    <s v="Married"/>
    <x v="2"/>
    <n v="3812"/>
    <n v="7003"/>
    <n v="1"/>
    <s v="Yes"/>
    <s v="No"/>
    <n v="13"/>
    <x v="0"/>
    <n v="2"/>
    <n v="80"/>
    <n v="0"/>
    <n v="11"/>
    <n v="3"/>
    <n v="4"/>
    <n v="11"/>
    <n v="8"/>
    <x v="2"/>
    <n v="10"/>
  </r>
  <r>
    <n v="32"/>
    <x v="1"/>
    <s v="Travel_Frequently"/>
    <n v="1318"/>
    <x v="0"/>
    <n v="10"/>
    <n v="4"/>
    <s v="Marketing"/>
    <n v="1"/>
    <n v="1853"/>
    <n v="4"/>
    <x v="1"/>
    <n v="79"/>
    <n v="3"/>
    <n v="2"/>
    <s v="Sales Executive"/>
    <n v="4"/>
    <s v="Single"/>
    <x v="4"/>
    <n v="4648"/>
    <n v="26075"/>
    <n v="8"/>
    <s v="Yes"/>
    <s v="No"/>
    <n v="13"/>
    <x v="0"/>
    <n v="3"/>
    <n v="80"/>
    <n v="0"/>
    <n v="4"/>
    <n v="2"/>
    <n v="4"/>
    <n v="0"/>
    <n v="0"/>
    <x v="0"/>
    <n v="0"/>
  </r>
  <r>
    <n v="42"/>
    <x v="1"/>
    <s v="Non-Travel"/>
    <n v="355"/>
    <x v="1"/>
    <n v="10"/>
    <n v="4"/>
    <s v="Technical Degree"/>
    <n v="1"/>
    <n v="1854"/>
    <n v="3"/>
    <x v="1"/>
    <n v="38"/>
    <n v="3"/>
    <n v="1"/>
    <s v="Research Scientist"/>
    <n v="3"/>
    <s v="Married"/>
    <x v="1"/>
    <n v="2936"/>
    <n v="6161"/>
    <n v="3"/>
    <s v="Yes"/>
    <s v="No"/>
    <n v="22"/>
    <x v="1"/>
    <n v="2"/>
    <n v="80"/>
    <n v="2"/>
    <n v="10"/>
    <n v="1"/>
    <n v="2"/>
    <n v="6"/>
    <n v="3"/>
    <x v="2"/>
    <n v="3"/>
  </r>
  <r>
    <n v="47"/>
    <x v="1"/>
    <s v="Travel_Rarely"/>
    <n v="207"/>
    <x v="1"/>
    <n v="9"/>
    <n v="4"/>
    <s v="Life Sciences"/>
    <n v="1"/>
    <n v="1856"/>
    <n v="2"/>
    <x v="0"/>
    <n v="64"/>
    <n v="3"/>
    <n v="1"/>
    <s v="Laboratory Technician"/>
    <n v="3"/>
    <s v="Single"/>
    <x v="1"/>
    <n v="2105"/>
    <n v="5411"/>
    <n v="4"/>
    <s v="Yes"/>
    <s v="No"/>
    <n v="12"/>
    <x v="0"/>
    <n v="3"/>
    <n v="80"/>
    <n v="0"/>
    <n v="7"/>
    <n v="2"/>
    <n v="3"/>
    <n v="2"/>
    <n v="2"/>
    <x v="3"/>
    <n v="0"/>
  </r>
  <r>
    <n v="46"/>
    <x v="1"/>
    <s v="Travel_Rarely"/>
    <n v="706"/>
    <x v="1"/>
    <n v="2"/>
    <n v="2"/>
    <s v="Life Sciences"/>
    <n v="1"/>
    <n v="1857"/>
    <n v="4"/>
    <x v="1"/>
    <n v="82"/>
    <n v="3"/>
    <n v="3"/>
    <s v="Manufacturing Director"/>
    <n v="4"/>
    <s v="Divorced"/>
    <x v="12"/>
    <n v="8578"/>
    <n v="19989"/>
    <n v="3"/>
    <s v="Yes"/>
    <s v="No"/>
    <n v="14"/>
    <x v="0"/>
    <n v="3"/>
    <n v="80"/>
    <n v="1"/>
    <n v="12"/>
    <n v="4"/>
    <n v="2"/>
    <n v="9"/>
    <n v="8"/>
    <x v="5"/>
    <n v="7"/>
  </r>
  <r>
    <n v="28"/>
    <x v="1"/>
    <s v="Non-Travel"/>
    <n v="280"/>
    <x v="2"/>
    <n v="1"/>
    <n v="2"/>
    <s v="Life Sciences"/>
    <n v="1"/>
    <n v="1858"/>
    <n v="3"/>
    <x v="1"/>
    <n v="43"/>
    <n v="3"/>
    <n v="1"/>
    <s v="Human Resources"/>
    <n v="4"/>
    <s v="Divorced"/>
    <x v="1"/>
    <n v="2706"/>
    <n v="10494"/>
    <n v="1"/>
    <s v="Yes"/>
    <s v="No"/>
    <n v="15"/>
    <x v="0"/>
    <n v="2"/>
    <n v="80"/>
    <n v="1"/>
    <n v="3"/>
    <n v="2"/>
    <n v="3"/>
    <n v="3"/>
    <n v="2"/>
    <x v="3"/>
    <n v="2"/>
  </r>
  <r>
    <n v="29"/>
    <x v="1"/>
    <s v="Travel_Rarely"/>
    <n v="726"/>
    <x v="1"/>
    <n v="29"/>
    <n v="1"/>
    <s v="Life Sciences"/>
    <n v="1"/>
    <n v="1859"/>
    <n v="4"/>
    <x v="1"/>
    <n v="93"/>
    <n v="1"/>
    <n v="2"/>
    <s v="Healthcare Representative"/>
    <n v="3"/>
    <s v="Divorced"/>
    <x v="9"/>
    <n v="6384"/>
    <n v="21143"/>
    <n v="8"/>
    <s v="Yes"/>
    <s v="No"/>
    <n v="17"/>
    <x v="0"/>
    <n v="4"/>
    <n v="80"/>
    <n v="2"/>
    <n v="11"/>
    <n v="3"/>
    <n v="3"/>
    <n v="7"/>
    <n v="0"/>
    <x v="1"/>
    <n v="6"/>
  </r>
  <r>
    <n v="42"/>
    <x v="1"/>
    <s v="Travel_Rarely"/>
    <n v="1142"/>
    <x v="1"/>
    <n v="8"/>
    <n v="3"/>
    <s v="Life Sciences"/>
    <n v="1"/>
    <n v="1860"/>
    <n v="4"/>
    <x v="1"/>
    <n v="81"/>
    <n v="3"/>
    <n v="1"/>
    <s v="Laboratory Technician"/>
    <n v="3"/>
    <s v="Single"/>
    <x v="2"/>
    <n v="3968"/>
    <n v="13624"/>
    <n v="4"/>
    <s v="Yes"/>
    <s v="No"/>
    <n v="13"/>
    <x v="0"/>
    <n v="4"/>
    <n v="80"/>
    <n v="0"/>
    <n v="8"/>
    <n v="3"/>
    <n v="3"/>
    <n v="0"/>
    <n v="0"/>
    <x v="0"/>
    <n v="0"/>
  </r>
  <r>
    <n v="32"/>
    <x v="0"/>
    <s v="Travel_Rarely"/>
    <n v="414"/>
    <x v="0"/>
    <n v="2"/>
    <n v="4"/>
    <s v="Marketing"/>
    <n v="1"/>
    <n v="1862"/>
    <n v="3"/>
    <x v="1"/>
    <n v="82"/>
    <n v="2"/>
    <n v="2"/>
    <s v="Sales Executive"/>
    <n v="2"/>
    <s v="Single"/>
    <x v="3"/>
    <n v="9907"/>
    <n v="26186"/>
    <n v="7"/>
    <s v="Yes"/>
    <s v="Yes"/>
    <n v="12"/>
    <x v="0"/>
    <n v="3"/>
    <n v="80"/>
    <n v="0"/>
    <n v="7"/>
    <n v="3"/>
    <n v="2"/>
    <n v="2"/>
    <n v="2"/>
    <x v="3"/>
    <n v="2"/>
  </r>
  <r>
    <n v="46"/>
    <x v="1"/>
    <s v="Travel_Rarely"/>
    <n v="1319"/>
    <x v="0"/>
    <n v="3"/>
    <n v="3"/>
    <s v="Technical Degree"/>
    <n v="1"/>
    <n v="1863"/>
    <n v="1"/>
    <x v="0"/>
    <n v="45"/>
    <n v="4"/>
    <n v="4"/>
    <s v="Sales Executive"/>
    <n v="1"/>
    <s v="Divorced"/>
    <x v="13"/>
    <n v="13225"/>
    <n v="7739"/>
    <n v="2"/>
    <s v="Yes"/>
    <s v="No"/>
    <n v="12"/>
    <x v="0"/>
    <n v="4"/>
    <n v="80"/>
    <n v="1"/>
    <n v="25"/>
    <n v="5"/>
    <n v="3"/>
    <n v="19"/>
    <n v="17"/>
    <x v="3"/>
    <n v="8"/>
  </r>
  <r>
    <n v="27"/>
    <x v="1"/>
    <s v="Travel_Rarely"/>
    <n v="728"/>
    <x v="0"/>
    <n v="23"/>
    <n v="1"/>
    <s v="Medical"/>
    <n v="1"/>
    <n v="1864"/>
    <n v="2"/>
    <x v="0"/>
    <n v="36"/>
    <n v="2"/>
    <n v="2"/>
    <s v="Sales Representative"/>
    <n v="3"/>
    <s v="Married"/>
    <x v="2"/>
    <n v="3540"/>
    <n v="7018"/>
    <n v="1"/>
    <s v="Yes"/>
    <s v="No"/>
    <n v="21"/>
    <x v="1"/>
    <n v="4"/>
    <n v="80"/>
    <n v="1"/>
    <n v="9"/>
    <n v="5"/>
    <n v="3"/>
    <n v="9"/>
    <n v="8"/>
    <x v="8"/>
    <n v="8"/>
  </r>
  <r>
    <n v="29"/>
    <x v="1"/>
    <s v="Travel_Rarely"/>
    <n v="352"/>
    <x v="2"/>
    <n v="6"/>
    <n v="1"/>
    <s v="Medical"/>
    <n v="1"/>
    <n v="1865"/>
    <n v="4"/>
    <x v="1"/>
    <n v="87"/>
    <n v="2"/>
    <n v="1"/>
    <s v="Human Resources"/>
    <n v="2"/>
    <s v="Married"/>
    <x v="1"/>
    <n v="2804"/>
    <n v="15434"/>
    <n v="1"/>
    <s v="Yes"/>
    <s v="No"/>
    <n v="11"/>
    <x v="0"/>
    <n v="4"/>
    <n v="80"/>
    <n v="0"/>
    <n v="1"/>
    <n v="3"/>
    <n v="3"/>
    <n v="1"/>
    <n v="0"/>
    <x v="0"/>
    <n v="0"/>
  </r>
  <r>
    <n v="43"/>
    <x v="1"/>
    <s v="Travel_Rarely"/>
    <n v="823"/>
    <x v="1"/>
    <n v="6"/>
    <n v="3"/>
    <s v="Medical"/>
    <n v="1"/>
    <n v="1866"/>
    <n v="1"/>
    <x v="0"/>
    <n v="81"/>
    <n v="2"/>
    <n v="5"/>
    <s v="Manager"/>
    <n v="3"/>
    <s v="Married"/>
    <x v="8"/>
    <n v="19392"/>
    <n v="22539"/>
    <n v="7"/>
    <s v="Yes"/>
    <s v="No"/>
    <n v="13"/>
    <x v="0"/>
    <n v="4"/>
    <n v="80"/>
    <n v="0"/>
    <n v="21"/>
    <n v="2"/>
    <n v="3"/>
    <n v="16"/>
    <n v="12"/>
    <x v="7"/>
    <n v="14"/>
  </r>
  <r>
    <n v="48"/>
    <x v="1"/>
    <s v="Travel_Rarely"/>
    <n v="1224"/>
    <x v="1"/>
    <n v="10"/>
    <n v="3"/>
    <s v="Life Sciences"/>
    <n v="1"/>
    <n v="1867"/>
    <n v="4"/>
    <x v="1"/>
    <n v="91"/>
    <n v="2"/>
    <n v="5"/>
    <s v="Research Director"/>
    <n v="2"/>
    <s v="Married"/>
    <x v="8"/>
    <n v="19665"/>
    <n v="13583"/>
    <n v="4"/>
    <s v="Yes"/>
    <s v="No"/>
    <n v="12"/>
    <x v="0"/>
    <n v="4"/>
    <n v="80"/>
    <n v="0"/>
    <n v="29"/>
    <n v="3"/>
    <n v="3"/>
    <n v="22"/>
    <n v="10"/>
    <x v="12"/>
    <n v="9"/>
  </r>
  <r>
    <n v="29"/>
    <x v="0"/>
    <s v="Travel_Frequently"/>
    <n v="459"/>
    <x v="1"/>
    <n v="24"/>
    <n v="2"/>
    <s v="Life Sciences"/>
    <n v="1"/>
    <n v="1868"/>
    <n v="4"/>
    <x v="1"/>
    <n v="73"/>
    <n v="2"/>
    <n v="1"/>
    <s v="Research Scientist"/>
    <n v="4"/>
    <s v="Single"/>
    <x v="1"/>
    <n v="2439"/>
    <n v="14753"/>
    <n v="1"/>
    <s v="Yes"/>
    <s v="Yes"/>
    <n v="24"/>
    <x v="1"/>
    <n v="2"/>
    <n v="80"/>
    <n v="0"/>
    <n v="1"/>
    <n v="3"/>
    <n v="2"/>
    <n v="1"/>
    <n v="0"/>
    <x v="1"/>
    <n v="0"/>
  </r>
  <r>
    <n v="46"/>
    <x v="0"/>
    <s v="Travel_Rarely"/>
    <n v="1254"/>
    <x v="0"/>
    <n v="10"/>
    <n v="3"/>
    <s v="Life Sciences"/>
    <n v="1"/>
    <n v="1869"/>
    <n v="3"/>
    <x v="0"/>
    <n v="64"/>
    <n v="3"/>
    <n v="3"/>
    <s v="Sales Executive"/>
    <n v="2"/>
    <s v="Married"/>
    <x v="14"/>
    <n v="7314"/>
    <n v="14011"/>
    <n v="5"/>
    <s v="Yes"/>
    <s v="No"/>
    <n v="21"/>
    <x v="1"/>
    <n v="3"/>
    <n v="80"/>
    <n v="3"/>
    <n v="14"/>
    <n v="2"/>
    <n v="3"/>
    <n v="8"/>
    <n v="7"/>
    <x v="0"/>
    <n v="7"/>
  </r>
  <r>
    <n v="27"/>
    <x v="1"/>
    <s v="Travel_Frequently"/>
    <n v="1131"/>
    <x v="1"/>
    <n v="15"/>
    <n v="3"/>
    <s v="Life Sciences"/>
    <n v="1"/>
    <n v="1870"/>
    <n v="4"/>
    <x v="0"/>
    <n v="77"/>
    <n v="2"/>
    <n v="1"/>
    <s v="Research Scientist"/>
    <n v="1"/>
    <s v="Married"/>
    <x v="4"/>
    <n v="4774"/>
    <n v="23844"/>
    <n v="0"/>
    <s v="Yes"/>
    <s v="No"/>
    <n v="19"/>
    <x v="0"/>
    <n v="4"/>
    <n v="80"/>
    <n v="1"/>
    <n v="8"/>
    <n v="2"/>
    <n v="2"/>
    <n v="7"/>
    <n v="6"/>
    <x v="4"/>
    <n v="3"/>
  </r>
  <r>
    <n v="39"/>
    <x v="1"/>
    <s v="Travel_Rarely"/>
    <n v="835"/>
    <x v="1"/>
    <n v="19"/>
    <n v="4"/>
    <s v="Other"/>
    <n v="1"/>
    <n v="1871"/>
    <n v="4"/>
    <x v="1"/>
    <n v="41"/>
    <n v="3"/>
    <n v="2"/>
    <s v="Research Scientist"/>
    <n v="4"/>
    <s v="Divorced"/>
    <x v="2"/>
    <n v="3902"/>
    <n v="5141"/>
    <n v="8"/>
    <s v="Yes"/>
    <s v="No"/>
    <n v="14"/>
    <x v="0"/>
    <n v="2"/>
    <n v="80"/>
    <n v="3"/>
    <n v="7"/>
    <n v="2"/>
    <n v="3"/>
    <n v="2"/>
    <n v="2"/>
    <x v="3"/>
    <n v="2"/>
  </r>
  <r>
    <n v="55"/>
    <x v="1"/>
    <s v="Travel_Rarely"/>
    <n v="836"/>
    <x v="1"/>
    <n v="2"/>
    <n v="4"/>
    <s v="Technical Degree"/>
    <n v="1"/>
    <n v="1873"/>
    <n v="2"/>
    <x v="1"/>
    <n v="98"/>
    <n v="2"/>
    <n v="1"/>
    <s v="Research Scientist"/>
    <n v="4"/>
    <s v="Married"/>
    <x v="1"/>
    <n v="2662"/>
    <n v="7975"/>
    <n v="8"/>
    <s v="Yes"/>
    <s v="No"/>
    <n v="20"/>
    <x v="1"/>
    <n v="2"/>
    <n v="80"/>
    <n v="1"/>
    <n v="19"/>
    <n v="2"/>
    <n v="4"/>
    <n v="5"/>
    <n v="2"/>
    <x v="0"/>
    <n v="4"/>
  </r>
  <r>
    <n v="28"/>
    <x v="1"/>
    <s v="Travel_Rarely"/>
    <n v="1172"/>
    <x v="0"/>
    <n v="3"/>
    <n v="3"/>
    <s v="Medical"/>
    <n v="1"/>
    <n v="1875"/>
    <n v="2"/>
    <x v="0"/>
    <n v="78"/>
    <n v="3"/>
    <n v="1"/>
    <s v="Sales Representative"/>
    <n v="2"/>
    <s v="Married"/>
    <x v="1"/>
    <n v="2856"/>
    <n v="3692"/>
    <n v="1"/>
    <s v="Yes"/>
    <s v="No"/>
    <n v="19"/>
    <x v="0"/>
    <n v="4"/>
    <n v="80"/>
    <n v="1"/>
    <n v="1"/>
    <n v="3"/>
    <n v="3"/>
    <n v="1"/>
    <n v="0"/>
    <x v="0"/>
    <n v="0"/>
  </r>
  <r>
    <n v="30"/>
    <x v="0"/>
    <s v="Travel_Rarely"/>
    <n v="945"/>
    <x v="0"/>
    <n v="9"/>
    <n v="3"/>
    <s v="Medical"/>
    <n v="1"/>
    <n v="1876"/>
    <n v="2"/>
    <x v="1"/>
    <n v="89"/>
    <n v="3"/>
    <n v="1"/>
    <s v="Sales Representative"/>
    <n v="4"/>
    <s v="Single"/>
    <x v="7"/>
    <n v="1081"/>
    <n v="16019"/>
    <n v="1"/>
    <s v="Yes"/>
    <s v="No"/>
    <n v="13"/>
    <x v="0"/>
    <n v="3"/>
    <n v="80"/>
    <n v="0"/>
    <n v="1"/>
    <n v="3"/>
    <n v="2"/>
    <n v="1"/>
    <n v="0"/>
    <x v="0"/>
    <n v="0"/>
  </r>
  <r>
    <n v="22"/>
    <x v="0"/>
    <s v="Travel_Rarely"/>
    <n v="391"/>
    <x v="1"/>
    <n v="7"/>
    <n v="1"/>
    <s v="Life Sciences"/>
    <n v="1"/>
    <n v="1878"/>
    <n v="4"/>
    <x v="1"/>
    <n v="75"/>
    <n v="3"/>
    <n v="1"/>
    <s v="Research Scientist"/>
    <n v="2"/>
    <s v="Single"/>
    <x v="1"/>
    <n v="2472"/>
    <n v="26092"/>
    <n v="1"/>
    <s v="Yes"/>
    <s v="Yes"/>
    <n v="23"/>
    <x v="1"/>
    <n v="1"/>
    <n v="80"/>
    <n v="0"/>
    <n v="1"/>
    <n v="2"/>
    <n v="3"/>
    <n v="1"/>
    <n v="0"/>
    <x v="0"/>
    <n v="0"/>
  </r>
  <r>
    <n v="36"/>
    <x v="1"/>
    <s v="Travel_Rarely"/>
    <n v="1266"/>
    <x v="0"/>
    <n v="10"/>
    <n v="4"/>
    <s v="Technical Degree"/>
    <n v="1"/>
    <n v="1880"/>
    <n v="2"/>
    <x v="0"/>
    <n v="63"/>
    <n v="2"/>
    <n v="2"/>
    <s v="Sales Executive"/>
    <n v="3"/>
    <s v="Married"/>
    <x v="0"/>
    <n v="5673"/>
    <n v="6060"/>
    <n v="1"/>
    <s v="Yes"/>
    <s v="Yes"/>
    <n v="13"/>
    <x v="0"/>
    <n v="1"/>
    <n v="80"/>
    <n v="1"/>
    <n v="10"/>
    <n v="4"/>
    <n v="3"/>
    <n v="10"/>
    <n v="9"/>
    <x v="1"/>
    <n v="7"/>
  </r>
  <r>
    <n v="31"/>
    <x v="1"/>
    <s v="Travel_Rarely"/>
    <n v="311"/>
    <x v="1"/>
    <n v="20"/>
    <n v="3"/>
    <s v="Life Sciences"/>
    <n v="1"/>
    <n v="1881"/>
    <n v="2"/>
    <x v="1"/>
    <n v="89"/>
    <n v="3"/>
    <n v="2"/>
    <s v="Laboratory Technician"/>
    <n v="3"/>
    <s v="Divorced"/>
    <x v="4"/>
    <n v="4197"/>
    <n v="18624"/>
    <n v="1"/>
    <s v="Yes"/>
    <s v="No"/>
    <n v="11"/>
    <x v="0"/>
    <n v="1"/>
    <n v="80"/>
    <n v="1"/>
    <n v="10"/>
    <n v="2"/>
    <n v="3"/>
    <n v="10"/>
    <n v="8"/>
    <x v="0"/>
    <n v="2"/>
  </r>
  <r>
    <n v="34"/>
    <x v="1"/>
    <s v="Travel_Rarely"/>
    <n v="1480"/>
    <x v="0"/>
    <n v="4"/>
    <n v="3"/>
    <s v="Life Sciences"/>
    <n v="1"/>
    <n v="1882"/>
    <n v="3"/>
    <x v="1"/>
    <n v="64"/>
    <n v="3"/>
    <n v="3"/>
    <s v="Sales Executive"/>
    <n v="4"/>
    <s v="Married"/>
    <x v="3"/>
    <n v="9713"/>
    <n v="24444"/>
    <n v="2"/>
    <s v="Yes"/>
    <s v="Yes"/>
    <n v="13"/>
    <x v="0"/>
    <n v="4"/>
    <n v="80"/>
    <n v="3"/>
    <n v="9"/>
    <n v="3"/>
    <n v="3"/>
    <n v="5"/>
    <n v="3"/>
    <x v="1"/>
    <n v="0"/>
  </r>
  <r>
    <n v="29"/>
    <x v="1"/>
    <s v="Travel_Rarely"/>
    <n v="592"/>
    <x v="1"/>
    <n v="7"/>
    <n v="3"/>
    <s v="Life Sciences"/>
    <n v="1"/>
    <n v="1883"/>
    <n v="4"/>
    <x v="1"/>
    <n v="59"/>
    <n v="3"/>
    <n v="1"/>
    <s v="Laboratory Technician"/>
    <n v="1"/>
    <s v="Single"/>
    <x v="1"/>
    <n v="2062"/>
    <n v="19384"/>
    <n v="3"/>
    <s v="Yes"/>
    <s v="No"/>
    <n v="14"/>
    <x v="0"/>
    <n v="2"/>
    <n v="80"/>
    <n v="0"/>
    <n v="11"/>
    <n v="2"/>
    <n v="3"/>
    <n v="3"/>
    <n v="2"/>
    <x v="1"/>
    <n v="2"/>
  </r>
  <r>
    <n v="37"/>
    <x v="1"/>
    <s v="Travel_Rarely"/>
    <n v="783"/>
    <x v="1"/>
    <n v="7"/>
    <n v="4"/>
    <s v="Medical"/>
    <n v="1"/>
    <n v="1885"/>
    <n v="4"/>
    <x v="1"/>
    <n v="78"/>
    <n v="3"/>
    <n v="2"/>
    <s v="Research Scientist"/>
    <n v="1"/>
    <s v="Married"/>
    <x v="4"/>
    <n v="4284"/>
    <n v="13588"/>
    <n v="5"/>
    <s v="Yes"/>
    <s v="Yes"/>
    <n v="22"/>
    <x v="1"/>
    <n v="3"/>
    <n v="80"/>
    <n v="1"/>
    <n v="16"/>
    <n v="2"/>
    <n v="3"/>
    <n v="5"/>
    <n v="3"/>
    <x v="0"/>
    <n v="4"/>
  </r>
  <r>
    <n v="35"/>
    <x v="1"/>
    <s v="Travel_Rarely"/>
    <n v="219"/>
    <x v="1"/>
    <n v="16"/>
    <n v="2"/>
    <s v="Other"/>
    <n v="1"/>
    <n v="1886"/>
    <n v="4"/>
    <x v="0"/>
    <n v="44"/>
    <n v="2"/>
    <n v="2"/>
    <s v="Manufacturing Director"/>
    <n v="2"/>
    <s v="Married"/>
    <x v="4"/>
    <n v="4788"/>
    <n v="25388"/>
    <n v="0"/>
    <s v="Yes"/>
    <s v="Yes"/>
    <n v="11"/>
    <x v="0"/>
    <n v="4"/>
    <n v="80"/>
    <n v="0"/>
    <n v="4"/>
    <n v="2"/>
    <n v="3"/>
    <n v="3"/>
    <n v="2"/>
    <x v="0"/>
    <n v="2"/>
  </r>
  <r>
    <n v="45"/>
    <x v="1"/>
    <s v="Travel_Rarely"/>
    <n v="556"/>
    <x v="1"/>
    <n v="25"/>
    <n v="2"/>
    <s v="Life Sciences"/>
    <n v="1"/>
    <n v="1888"/>
    <n v="2"/>
    <x v="0"/>
    <n v="93"/>
    <n v="2"/>
    <n v="2"/>
    <s v="Manufacturing Director"/>
    <n v="4"/>
    <s v="Married"/>
    <x v="0"/>
    <n v="5906"/>
    <n v="23888"/>
    <n v="0"/>
    <s v="Yes"/>
    <s v="No"/>
    <n v="13"/>
    <x v="0"/>
    <n v="4"/>
    <n v="80"/>
    <n v="2"/>
    <n v="10"/>
    <n v="2"/>
    <n v="2"/>
    <n v="9"/>
    <n v="8"/>
    <x v="2"/>
    <n v="8"/>
  </r>
  <r>
    <n v="36"/>
    <x v="1"/>
    <s v="Travel_Frequently"/>
    <n v="1213"/>
    <x v="2"/>
    <n v="2"/>
    <n v="1"/>
    <s v="Human Resources"/>
    <n v="1"/>
    <n v="1890"/>
    <n v="2"/>
    <x v="1"/>
    <n v="94"/>
    <n v="2"/>
    <n v="2"/>
    <s v="Human Resources"/>
    <n v="4"/>
    <s v="Single"/>
    <x v="2"/>
    <n v="3886"/>
    <n v="4223"/>
    <n v="1"/>
    <s v="Yes"/>
    <s v="No"/>
    <n v="21"/>
    <x v="1"/>
    <n v="4"/>
    <n v="80"/>
    <n v="0"/>
    <n v="10"/>
    <n v="2"/>
    <n v="2"/>
    <n v="10"/>
    <n v="1"/>
    <x v="0"/>
    <n v="8"/>
  </r>
  <r>
    <n v="40"/>
    <x v="1"/>
    <s v="Travel_Rarely"/>
    <n v="1137"/>
    <x v="1"/>
    <n v="1"/>
    <n v="4"/>
    <s v="Life Sciences"/>
    <n v="1"/>
    <n v="1892"/>
    <n v="1"/>
    <x v="1"/>
    <n v="98"/>
    <n v="3"/>
    <n v="4"/>
    <s v="Manager"/>
    <n v="1"/>
    <s v="Divorced"/>
    <x v="17"/>
    <n v="16823"/>
    <n v="18991"/>
    <n v="2"/>
    <s v="Yes"/>
    <s v="No"/>
    <n v="11"/>
    <x v="0"/>
    <n v="1"/>
    <n v="80"/>
    <n v="1"/>
    <n v="22"/>
    <n v="3"/>
    <n v="3"/>
    <n v="19"/>
    <n v="7"/>
    <x v="14"/>
    <n v="16"/>
  </r>
  <r>
    <n v="26"/>
    <x v="1"/>
    <s v="Travel_Rarely"/>
    <n v="482"/>
    <x v="1"/>
    <n v="1"/>
    <n v="2"/>
    <s v="Life Sciences"/>
    <n v="1"/>
    <n v="1893"/>
    <n v="2"/>
    <x v="0"/>
    <n v="90"/>
    <n v="2"/>
    <n v="1"/>
    <s v="Research Scientist"/>
    <n v="3"/>
    <s v="Married"/>
    <x v="1"/>
    <n v="2933"/>
    <n v="14908"/>
    <n v="1"/>
    <s v="Yes"/>
    <s v="Yes"/>
    <n v="13"/>
    <x v="0"/>
    <n v="3"/>
    <n v="80"/>
    <n v="1"/>
    <n v="1"/>
    <n v="3"/>
    <n v="2"/>
    <n v="1"/>
    <n v="0"/>
    <x v="1"/>
    <n v="0"/>
  </r>
  <r>
    <n v="27"/>
    <x v="1"/>
    <s v="Travel_Rarely"/>
    <n v="511"/>
    <x v="0"/>
    <n v="2"/>
    <n v="2"/>
    <s v="Medical"/>
    <n v="1"/>
    <n v="1898"/>
    <n v="1"/>
    <x v="0"/>
    <n v="89"/>
    <n v="4"/>
    <n v="2"/>
    <s v="Sales Executive"/>
    <n v="3"/>
    <s v="Single"/>
    <x v="9"/>
    <n v="6500"/>
    <n v="26997"/>
    <n v="0"/>
    <s v="Yes"/>
    <s v="No"/>
    <n v="14"/>
    <x v="0"/>
    <n v="2"/>
    <n v="80"/>
    <n v="0"/>
    <n v="9"/>
    <n v="5"/>
    <n v="2"/>
    <n v="8"/>
    <n v="7"/>
    <x v="0"/>
    <n v="7"/>
  </r>
  <r>
    <n v="48"/>
    <x v="1"/>
    <s v="Travel_Frequently"/>
    <n v="117"/>
    <x v="1"/>
    <n v="22"/>
    <n v="3"/>
    <s v="Medical"/>
    <n v="1"/>
    <n v="1900"/>
    <n v="4"/>
    <x v="0"/>
    <n v="58"/>
    <n v="3"/>
    <n v="4"/>
    <s v="Manager"/>
    <n v="4"/>
    <s v="Divorced"/>
    <x v="16"/>
    <n v="17174"/>
    <n v="2437"/>
    <n v="3"/>
    <s v="Yes"/>
    <s v="No"/>
    <n v="11"/>
    <x v="0"/>
    <n v="2"/>
    <n v="80"/>
    <n v="1"/>
    <n v="24"/>
    <n v="3"/>
    <n v="3"/>
    <n v="22"/>
    <n v="17"/>
    <x v="5"/>
    <n v="7"/>
  </r>
  <r>
    <n v="44"/>
    <x v="1"/>
    <s v="Travel_Rarely"/>
    <n v="170"/>
    <x v="1"/>
    <n v="1"/>
    <n v="4"/>
    <s v="Life Sciences"/>
    <n v="1"/>
    <n v="1903"/>
    <n v="2"/>
    <x v="1"/>
    <n v="78"/>
    <n v="4"/>
    <n v="2"/>
    <s v="Healthcare Representative"/>
    <n v="1"/>
    <s v="Married"/>
    <x v="0"/>
    <n v="5033"/>
    <n v="9364"/>
    <n v="2"/>
    <s v="Yes"/>
    <s v="No"/>
    <n v="15"/>
    <x v="0"/>
    <n v="4"/>
    <n v="80"/>
    <n v="1"/>
    <n v="10"/>
    <n v="5"/>
    <n v="3"/>
    <n v="2"/>
    <n v="0"/>
    <x v="3"/>
    <n v="2"/>
  </r>
  <r>
    <n v="34"/>
    <x v="0"/>
    <s v="Non-Travel"/>
    <n v="967"/>
    <x v="1"/>
    <n v="16"/>
    <n v="4"/>
    <s v="Technical Degree"/>
    <n v="1"/>
    <n v="1905"/>
    <n v="4"/>
    <x v="1"/>
    <n v="85"/>
    <n v="1"/>
    <n v="1"/>
    <s v="Research Scientist"/>
    <n v="1"/>
    <s v="Married"/>
    <x v="1"/>
    <n v="2307"/>
    <n v="14460"/>
    <n v="1"/>
    <s v="Yes"/>
    <s v="Yes"/>
    <n v="23"/>
    <x v="1"/>
    <n v="2"/>
    <n v="80"/>
    <n v="1"/>
    <n v="5"/>
    <n v="2"/>
    <n v="3"/>
    <n v="5"/>
    <n v="2"/>
    <x v="2"/>
    <n v="0"/>
  </r>
  <r>
    <n v="56"/>
    <x v="0"/>
    <s v="Travel_Rarely"/>
    <n v="1162"/>
    <x v="1"/>
    <n v="24"/>
    <n v="2"/>
    <s v="Life Sciences"/>
    <n v="1"/>
    <n v="1907"/>
    <n v="1"/>
    <x v="1"/>
    <n v="97"/>
    <n v="3"/>
    <n v="1"/>
    <s v="Laboratory Technician"/>
    <n v="4"/>
    <s v="Single"/>
    <x v="1"/>
    <n v="2587"/>
    <n v="10261"/>
    <n v="1"/>
    <s v="Yes"/>
    <s v="No"/>
    <n v="16"/>
    <x v="0"/>
    <n v="4"/>
    <n v="80"/>
    <n v="0"/>
    <n v="5"/>
    <n v="3"/>
    <n v="3"/>
    <n v="4"/>
    <n v="2"/>
    <x v="1"/>
    <n v="0"/>
  </r>
  <r>
    <n v="36"/>
    <x v="1"/>
    <s v="Travel_Rarely"/>
    <n v="335"/>
    <x v="0"/>
    <n v="17"/>
    <n v="2"/>
    <s v="Marketing"/>
    <n v="1"/>
    <n v="1908"/>
    <n v="3"/>
    <x v="1"/>
    <n v="33"/>
    <n v="2"/>
    <n v="2"/>
    <s v="Sales Executive"/>
    <n v="2"/>
    <s v="Married"/>
    <x v="0"/>
    <n v="5507"/>
    <n v="16822"/>
    <n v="2"/>
    <s v="Yes"/>
    <s v="No"/>
    <n v="16"/>
    <x v="0"/>
    <n v="3"/>
    <n v="80"/>
    <n v="2"/>
    <n v="12"/>
    <n v="1"/>
    <n v="1"/>
    <n v="4"/>
    <n v="2"/>
    <x v="1"/>
    <n v="3"/>
  </r>
  <r>
    <n v="41"/>
    <x v="1"/>
    <s v="Travel_Rarely"/>
    <n v="337"/>
    <x v="0"/>
    <n v="8"/>
    <n v="3"/>
    <s v="Marketing"/>
    <n v="1"/>
    <n v="1909"/>
    <n v="3"/>
    <x v="0"/>
    <n v="54"/>
    <n v="3"/>
    <n v="2"/>
    <s v="Sales Executive"/>
    <n v="2"/>
    <s v="Married"/>
    <x v="4"/>
    <n v="4393"/>
    <n v="26841"/>
    <n v="5"/>
    <s v="Yes"/>
    <s v="No"/>
    <n v="21"/>
    <x v="1"/>
    <n v="3"/>
    <n v="80"/>
    <n v="1"/>
    <n v="14"/>
    <n v="3"/>
    <n v="3"/>
    <n v="5"/>
    <n v="4"/>
    <x v="1"/>
    <n v="4"/>
  </r>
  <r>
    <n v="42"/>
    <x v="1"/>
    <s v="Travel_Rarely"/>
    <n v="1396"/>
    <x v="1"/>
    <n v="6"/>
    <n v="3"/>
    <s v="Medical"/>
    <n v="1"/>
    <n v="1911"/>
    <n v="3"/>
    <x v="1"/>
    <n v="83"/>
    <n v="3"/>
    <n v="3"/>
    <s v="Research Director"/>
    <n v="1"/>
    <s v="Married"/>
    <x v="13"/>
    <n v="13348"/>
    <n v="14842"/>
    <n v="9"/>
    <s v="Yes"/>
    <s v="No"/>
    <n v="13"/>
    <x v="0"/>
    <n v="2"/>
    <n v="80"/>
    <n v="1"/>
    <n v="18"/>
    <n v="3"/>
    <n v="4"/>
    <n v="13"/>
    <n v="7"/>
    <x v="8"/>
    <n v="7"/>
  </r>
  <r>
    <n v="31"/>
    <x v="1"/>
    <s v="Travel_Rarely"/>
    <n v="1079"/>
    <x v="0"/>
    <n v="10"/>
    <n v="2"/>
    <s v="Medical"/>
    <n v="1"/>
    <n v="1912"/>
    <n v="3"/>
    <x v="0"/>
    <n v="86"/>
    <n v="3"/>
    <n v="2"/>
    <s v="Sales Executive"/>
    <n v="4"/>
    <s v="Divorced"/>
    <x v="9"/>
    <n v="6583"/>
    <n v="20115"/>
    <n v="2"/>
    <s v="Yes"/>
    <s v="Yes"/>
    <n v="11"/>
    <x v="0"/>
    <n v="4"/>
    <n v="80"/>
    <n v="1"/>
    <n v="8"/>
    <n v="2"/>
    <n v="3"/>
    <n v="5"/>
    <n v="2"/>
    <x v="1"/>
    <n v="4"/>
  </r>
  <r>
    <n v="34"/>
    <x v="1"/>
    <s v="Travel_Rarely"/>
    <n v="735"/>
    <x v="0"/>
    <n v="3"/>
    <n v="1"/>
    <s v="Medical"/>
    <n v="1"/>
    <n v="1915"/>
    <n v="4"/>
    <x v="0"/>
    <n v="75"/>
    <n v="2"/>
    <n v="2"/>
    <s v="Sales Executive"/>
    <n v="4"/>
    <s v="Married"/>
    <x v="12"/>
    <n v="8103"/>
    <n v="16495"/>
    <n v="3"/>
    <s v="Yes"/>
    <s v="Yes"/>
    <n v="12"/>
    <x v="0"/>
    <n v="3"/>
    <n v="80"/>
    <n v="0"/>
    <n v="9"/>
    <n v="3"/>
    <n v="2"/>
    <n v="4"/>
    <n v="2"/>
    <x v="0"/>
    <n v="1"/>
  </r>
  <r>
    <n v="31"/>
    <x v="1"/>
    <s v="Travel_Rarely"/>
    <n v="471"/>
    <x v="1"/>
    <n v="4"/>
    <n v="3"/>
    <s v="Medical"/>
    <n v="1"/>
    <n v="1916"/>
    <n v="1"/>
    <x v="0"/>
    <n v="62"/>
    <n v="4"/>
    <n v="1"/>
    <s v="Laboratory Technician"/>
    <n v="3"/>
    <s v="Divorced"/>
    <x v="2"/>
    <n v="3978"/>
    <n v="16031"/>
    <n v="8"/>
    <s v="Yes"/>
    <s v="No"/>
    <n v="12"/>
    <x v="0"/>
    <n v="2"/>
    <n v="80"/>
    <n v="1"/>
    <n v="4"/>
    <n v="0"/>
    <n v="2"/>
    <n v="2"/>
    <n v="2"/>
    <x v="3"/>
    <n v="2"/>
  </r>
  <r>
    <n v="26"/>
    <x v="1"/>
    <s v="Travel_Frequently"/>
    <n v="1096"/>
    <x v="1"/>
    <n v="6"/>
    <n v="3"/>
    <s v="Other"/>
    <n v="1"/>
    <n v="1918"/>
    <n v="3"/>
    <x v="1"/>
    <n v="61"/>
    <n v="4"/>
    <n v="1"/>
    <s v="Laboratory Technician"/>
    <n v="4"/>
    <s v="Married"/>
    <x v="1"/>
    <n v="2544"/>
    <n v="7102"/>
    <n v="0"/>
    <s v="Yes"/>
    <s v="No"/>
    <n v="18"/>
    <x v="0"/>
    <n v="1"/>
    <n v="80"/>
    <n v="1"/>
    <n v="8"/>
    <n v="3"/>
    <n v="3"/>
    <n v="7"/>
    <n v="7"/>
    <x v="4"/>
    <n v="7"/>
  </r>
  <r>
    <n v="45"/>
    <x v="1"/>
    <s v="Travel_Frequently"/>
    <n v="1297"/>
    <x v="1"/>
    <n v="1"/>
    <n v="4"/>
    <s v="Medical"/>
    <n v="1"/>
    <n v="1922"/>
    <n v="2"/>
    <x v="1"/>
    <n v="44"/>
    <n v="3"/>
    <n v="2"/>
    <s v="Healthcare Representative"/>
    <n v="3"/>
    <s v="Single"/>
    <x v="0"/>
    <n v="5399"/>
    <n v="14511"/>
    <n v="4"/>
    <s v="Yes"/>
    <s v="No"/>
    <n v="12"/>
    <x v="0"/>
    <n v="3"/>
    <n v="80"/>
    <n v="0"/>
    <n v="12"/>
    <n v="3"/>
    <n v="3"/>
    <n v="4"/>
    <n v="2"/>
    <x v="0"/>
    <n v="3"/>
  </r>
  <r>
    <n v="33"/>
    <x v="1"/>
    <s v="Travel_Rarely"/>
    <n v="217"/>
    <x v="0"/>
    <n v="10"/>
    <n v="4"/>
    <s v="Marketing"/>
    <n v="1"/>
    <n v="1924"/>
    <n v="2"/>
    <x v="1"/>
    <n v="43"/>
    <n v="3"/>
    <n v="2"/>
    <s v="Sales Executive"/>
    <n v="3"/>
    <s v="Single"/>
    <x v="0"/>
    <n v="5487"/>
    <n v="10410"/>
    <n v="1"/>
    <s v="Yes"/>
    <s v="No"/>
    <n v="14"/>
    <x v="0"/>
    <n v="2"/>
    <n v="80"/>
    <n v="0"/>
    <n v="10"/>
    <n v="2"/>
    <n v="2"/>
    <n v="10"/>
    <n v="4"/>
    <x v="0"/>
    <n v="9"/>
  </r>
  <r>
    <n v="28"/>
    <x v="1"/>
    <s v="Travel_Frequently"/>
    <n v="783"/>
    <x v="0"/>
    <n v="1"/>
    <n v="2"/>
    <s v="Life Sciences"/>
    <n v="1"/>
    <n v="1927"/>
    <n v="3"/>
    <x v="1"/>
    <n v="42"/>
    <n v="2"/>
    <n v="2"/>
    <s v="Sales Executive"/>
    <n v="4"/>
    <s v="Married"/>
    <x v="9"/>
    <n v="6834"/>
    <n v="19255"/>
    <n v="1"/>
    <s v="Yes"/>
    <s v="Yes"/>
    <n v="12"/>
    <x v="0"/>
    <n v="3"/>
    <n v="80"/>
    <n v="1"/>
    <n v="7"/>
    <n v="2"/>
    <n v="3"/>
    <n v="7"/>
    <n v="7"/>
    <x v="0"/>
    <n v="7"/>
  </r>
  <r>
    <n v="29"/>
    <x v="0"/>
    <s v="Travel_Frequently"/>
    <n v="746"/>
    <x v="0"/>
    <n v="24"/>
    <n v="3"/>
    <s v="Technical Degree"/>
    <n v="1"/>
    <n v="1928"/>
    <n v="3"/>
    <x v="1"/>
    <n v="45"/>
    <n v="4"/>
    <n v="1"/>
    <s v="Sales Representative"/>
    <n v="1"/>
    <s v="Single"/>
    <x v="7"/>
    <n v="1091"/>
    <n v="10642"/>
    <n v="1"/>
    <s v="Yes"/>
    <s v="No"/>
    <n v="17"/>
    <x v="0"/>
    <n v="4"/>
    <n v="80"/>
    <n v="0"/>
    <n v="1"/>
    <n v="3"/>
    <n v="3"/>
    <n v="1"/>
    <n v="0"/>
    <x v="0"/>
    <n v="0"/>
  </r>
  <r>
    <n v="39"/>
    <x v="1"/>
    <s v="Non-Travel"/>
    <n v="1251"/>
    <x v="0"/>
    <n v="21"/>
    <n v="4"/>
    <s v="Life Sciences"/>
    <n v="1"/>
    <n v="1929"/>
    <n v="1"/>
    <x v="0"/>
    <n v="32"/>
    <n v="1"/>
    <n v="2"/>
    <s v="Sales Executive"/>
    <n v="3"/>
    <s v="Married"/>
    <x v="0"/>
    <n v="5736"/>
    <n v="3987"/>
    <n v="6"/>
    <s v="Yes"/>
    <s v="No"/>
    <n v="19"/>
    <x v="0"/>
    <n v="3"/>
    <n v="80"/>
    <n v="1"/>
    <n v="10"/>
    <n v="1"/>
    <n v="3"/>
    <n v="3"/>
    <n v="2"/>
    <x v="1"/>
    <n v="2"/>
  </r>
  <r>
    <n v="27"/>
    <x v="1"/>
    <s v="Travel_Rarely"/>
    <n v="1354"/>
    <x v="1"/>
    <n v="2"/>
    <n v="4"/>
    <s v="Technical Degree"/>
    <n v="1"/>
    <n v="1931"/>
    <n v="2"/>
    <x v="1"/>
    <n v="41"/>
    <n v="3"/>
    <n v="1"/>
    <s v="Research Scientist"/>
    <n v="2"/>
    <s v="Married"/>
    <x v="1"/>
    <n v="2226"/>
    <n v="6073"/>
    <n v="1"/>
    <s v="Yes"/>
    <s v="No"/>
    <n v="11"/>
    <x v="0"/>
    <n v="3"/>
    <n v="80"/>
    <n v="1"/>
    <n v="6"/>
    <n v="3"/>
    <n v="2"/>
    <n v="5"/>
    <n v="3"/>
    <x v="1"/>
    <n v="2"/>
  </r>
  <r>
    <n v="34"/>
    <x v="1"/>
    <s v="Travel_Frequently"/>
    <n v="735"/>
    <x v="1"/>
    <n v="22"/>
    <n v="4"/>
    <s v="Other"/>
    <n v="1"/>
    <n v="1932"/>
    <n v="3"/>
    <x v="1"/>
    <n v="86"/>
    <n v="2"/>
    <n v="2"/>
    <s v="Research Scientist"/>
    <n v="4"/>
    <s v="Married"/>
    <x v="0"/>
    <n v="5747"/>
    <n v="26496"/>
    <n v="1"/>
    <s v="Yes"/>
    <s v="Yes"/>
    <n v="15"/>
    <x v="0"/>
    <n v="2"/>
    <n v="80"/>
    <n v="0"/>
    <n v="16"/>
    <n v="3"/>
    <n v="3"/>
    <n v="15"/>
    <n v="10"/>
    <x v="7"/>
    <n v="11"/>
  </r>
  <r>
    <n v="28"/>
    <x v="0"/>
    <s v="Travel_Rarely"/>
    <n v="1475"/>
    <x v="0"/>
    <n v="13"/>
    <n v="2"/>
    <s v="Marketing"/>
    <n v="1"/>
    <n v="1933"/>
    <n v="4"/>
    <x v="0"/>
    <n v="84"/>
    <n v="3"/>
    <n v="2"/>
    <s v="Sales Executive"/>
    <n v="3"/>
    <s v="Single"/>
    <x v="3"/>
    <n v="9854"/>
    <n v="23352"/>
    <n v="3"/>
    <s v="Yes"/>
    <s v="Yes"/>
    <n v="11"/>
    <x v="0"/>
    <n v="4"/>
    <n v="80"/>
    <n v="0"/>
    <n v="6"/>
    <n v="0"/>
    <n v="3"/>
    <n v="2"/>
    <n v="0"/>
    <x v="3"/>
    <n v="2"/>
  </r>
  <r>
    <n v="47"/>
    <x v="1"/>
    <s v="Non-Travel"/>
    <n v="1169"/>
    <x v="1"/>
    <n v="14"/>
    <n v="4"/>
    <s v="Technical Degree"/>
    <n v="1"/>
    <n v="1934"/>
    <n v="3"/>
    <x v="1"/>
    <n v="64"/>
    <n v="3"/>
    <n v="2"/>
    <s v="Research Scientist"/>
    <n v="2"/>
    <s v="Married"/>
    <x v="0"/>
    <n v="5467"/>
    <n v="2125"/>
    <n v="8"/>
    <s v="Yes"/>
    <s v="No"/>
    <n v="18"/>
    <x v="0"/>
    <n v="3"/>
    <n v="80"/>
    <n v="1"/>
    <n v="16"/>
    <n v="4"/>
    <n v="4"/>
    <n v="8"/>
    <n v="7"/>
    <x v="1"/>
    <n v="7"/>
  </r>
  <r>
    <n v="56"/>
    <x v="1"/>
    <s v="Travel_Rarely"/>
    <n v="1443"/>
    <x v="0"/>
    <n v="11"/>
    <n v="5"/>
    <s v="Marketing"/>
    <n v="1"/>
    <n v="1935"/>
    <n v="4"/>
    <x v="0"/>
    <n v="89"/>
    <n v="2"/>
    <n v="2"/>
    <s v="Sales Executive"/>
    <n v="1"/>
    <s v="Married"/>
    <x v="0"/>
    <n v="5380"/>
    <n v="20328"/>
    <n v="4"/>
    <s v="Yes"/>
    <s v="No"/>
    <n v="16"/>
    <x v="0"/>
    <n v="3"/>
    <n v="80"/>
    <n v="1"/>
    <n v="6"/>
    <n v="3"/>
    <n v="3"/>
    <n v="0"/>
    <n v="0"/>
    <x v="0"/>
    <n v="0"/>
  </r>
  <r>
    <n v="39"/>
    <x v="1"/>
    <s v="Travel_Rarely"/>
    <n v="867"/>
    <x v="1"/>
    <n v="9"/>
    <n v="2"/>
    <s v="Medical"/>
    <n v="1"/>
    <n v="1936"/>
    <n v="1"/>
    <x v="1"/>
    <n v="87"/>
    <n v="3"/>
    <n v="2"/>
    <s v="Manufacturing Director"/>
    <n v="1"/>
    <s v="Married"/>
    <x v="0"/>
    <n v="5151"/>
    <n v="12315"/>
    <n v="1"/>
    <s v="Yes"/>
    <s v="No"/>
    <n v="25"/>
    <x v="1"/>
    <n v="4"/>
    <n v="80"/>
    <n v="1"/>
    <n v="10"/>
    <n v="3"/>
    <n v="3"/>
    <n v="10"/>
    <n v="0"/>
    <x v="4"/>
    <n v="9"/>
  </r>
  <r>
    <n v="38"/>
    <x v="1"/>
    <s v="Travel_Frequently"/>
    <n v="1394"/>
    <x v="1"/>
    <n v="8"/>
    <n v="3"/>
    <s v="Medical"/>
    <n v="1"/>
    <n v="1937"/>
    <n v="4"/>
    <x v="0"/>
    <n v="58"/>
    <n v="2"/>
    <n v="2"/>
    <s v="Research Scientist"/>
    <n v="2"/>
    <s v="Divorced"/>
    <x v="1"/>
    <n v="2133"/>
    <n v="18115"/>
    <n v="1"/>
    <s v="Yes"/>
    <s v="Yes"/>
    <n v="16"/>
    <x v="0"/>
    <n v="3"/>
    <n v="80"/>
    <n v="1"/>
    <n v="20"/>
    <n v="3"/>
    <n v="3"/>
    <n v="20"/>
    <n v="11"/>
    <x v="0"/>
    <n v="7"/>
  </r>
  <r>
    <n v="58"/>
    <x v="1"/>
    <s v="Travel_Rarely"/>
    <n v="605"/>
    <x v="0"/>
    <n v="21"/>
    <n v="3"/>
    <s v="Life Sciences"/>
    <n v="1"/>
    <n v="1938"/>
    <n v="4"/>
    <x v="0"/>
    <n v="72"/>
    <n v="3"/>
    <n v="4"/>
    <s v="Manager"/>
    <n v="4"/>
    <s v="Married"/>
    <x v="16"/>
    <n v="17875"/>
    <n v="11761"/>
    <n v="4"/>
    <s v="Yes"/>
    <s v="Yes"/>
    <n v="13"/>
    <x v="0"/>
    <n v="3"/>
    <n v="80"/>
    <n v="1"/>
    <n v="29"/>
    <n v="2"/>
    <n v="2"/>
    <n v="1"/>
    <n v="0"/>
    <x v="0"/>
    <n v="0"/>
  </r>
  <r>
    <n v="32"/>
    <x v="0"/>
    <s v="Travel_Frequently"/>
    <n v="238"/>
    <x v="1"/>
    <n v="5"/>
    <n v="2"/>
    <s v="Life Sciences"/>
    <n v="1"/>
    <n v="1939"/>
    <n v="1"/>
    <x v="0"/>
    <n v="47"/>
    <n v="4"/>
    <n v="1"/>
    <s v="Research Scientist"/>
    <n v="3"/>
    <s v="Single"/>
    <x v="1"/>
    <n v="2432"/>
    <n v="15318"/>
    <n v="3"/>
    <s v="Yes"/>
    <s v="Yes"/>
    <n v="14"/>
    <x v="0"/>
    <n v="1"/>
    <n v="80"/>
    <n v="0"/>
    <n v="8"/>
    <n v="2"/>
    <n v="3"/>
    <n v="4"/>
    <n v="1"/>
    <x v="0"/>
    <n v="3"/>
  </r>
  <r>
    <n v="38"/>
    <x v="1"/>
    <s v="Travel_Rarely"/>
    <n v="1206"/>
    <x v="1"/>
    <n v="9"/>
    <n v="2"/>
    <s v="Life Sciences"/>
    <n v="1"/>
    <n v="1940"/>
    <n v="2"/>
    <x v="1"/>
    <n v="71"/>
    <n v="3"/>
    <n v="1"/>
    <s v="Research Scientist"/>
    <n v="4"/>
    <s v="Divorced"/>
    <x v="4"/>
    <n v="4771"/>
    <n v="14293"/>
    <n v="2"/>
    <s v="Yes"/>
    <s v="No"/>
    <n v="19"/>
    <x v="0"/>
    <n v="4"/>
    <n v="80"/>
    <n v="2"/>
    <n v="10"/>
    <n v="0"/>
    <n v="4"/>
    <n v="5"/>
    <n v="2"/>
    <x v="0"/>
    <n v="3"/>
  </r>
  <r>
    <n v="49"/>
    <x v="1"/>
    <s v="Travel_Frequently"/>
    <n v="1064"/>
    <x v="1"/>
    <n v="2"/>
    <n v="1"/>
    <s v="Life Sciences"/>
    <n v="1"/>
    <n v="1941"/>
    <n v="2"/>
    <x v="1"/>
    <n v="42"/>
    <n v="3"/>
    <n v="5"/>
    <s v="Research Director"/>
    <n v="4"/>
    <s v="Married"/>
    <x v="8"/>
    <n v="19161"/>
    <n v="13738"/>
    <n v="3"/>
    <s v="Yes"/>
    <s v="No"/>
    <n v="15"/>
    <x v="0"/>
    <n v="4"/>
    <n v="80"/>
    <n v="0"/>
    <n v="28"/>
    <n v="3"/>
    <n v="3"/>
    <n v="5"/>
    <n v="4"/>
    <x v="5"/>
    <n v="3"/>
  </r>
  <r>
    <n v="42"/>
    <x v="1"/>
    <s v="Travel_Rarely"/>
    <n v="419"/>
    <x v="0"/>
    <n v="12"/>
    <n v="4"/>
    <s v="Marketing"/>
    <n v="1"/>
    <n v="1943"/>
    <n v="2"/>
    <x v="1"/>
    <n v="77"/>
    <n v="3"/>
    <n v="2"/>
    <s v="Sales Executive"/>
    <n v="4"/>
    <s v="Divorced"/>
    <x v="0"/>
    <n v="5087"/>
    <n v="2900"/>
    <n v="3"/>
    <s v="Yes"/>
    <s v="Yes"/>
    <n v="12"/>
    <x v="0"/>
    <n v="3"/>
    <n v="80"/>
    <n v="2"/>
    <n v="14"/>
    <n v="4"/>
    <n v="3"/>
    <n v="0"/>
    <n v="0"/>
    <x v="0"/>
    <n v="0"/>
  </r>
  <r>
    <n v="27"/>
    <x v="0"/>
    <s v="Travel_Frequently"/>
    <n v="1337"/>
    <x v="2"/>
    <n v="22"/>
    <n v="3"/>
    <s v="Human Resources"/>
    <n v="1"/>
    <n v="1944"/>
    <n v="1"/>
    <x v="0"/>
    <n v="58"/>
    <n v="2"/>
    <n v="1"/>
    <s v="Human Resources"/>
    <n v="2"/>
    <s v="Married"/>
    <x v="1"/>
    <n v="2863"/>
    <n v="19555"/>
    <n v="1"/>
    <s v="Yes"/>
    <s v="No"/>
    <n v="12"/>
    <x v="0"/>
    <n v="1"/>
    <n v="80"/>
    <n v="0"/>
    <n v="1"/>
    <n v="2"/>
    <n v="3"/>
    <n v="1"/>
    <n v="0"/>
    <x v="0"/>
    <n v="0"/>
  </r>
  <r>
    <n v="35"/>
    <x v="1"/>
    <s v="Travel_Rarely"/>
    <n v="682"/>
    <x v="0"/>
    <n v="18"/>
    <n v="4"/>
    <s v="Medical"/>
    <n v="1"/>
    <n v="1945"/>
    <n v="2"/>
    <x v="1"/>
    <n v="71"/>
    <n v="3"/>
    <n v="2"/>
    <s v="Sales Executive"/>
    <n v="1"/>
    <s v="Married"/>
    <x v="0"/>
    <n v="5561"/>
    <n v="15975"/>
    <n v="0"/>
    <s v="Yes"/>
    <s v="No"/>
    <n v="16"/>
    <x v="0"/>
    <n v="4"/>
    <n v="80"/>
    <n v="1"/>
    <n v="6"/>
    <n v="2"/>
    <n v="1"/>
    <n v="5"/>
    <n v="3"/>
    <x v="0"/>
    <n v="4"/>
  </r>
  <r>
    <n v="28"/>
    <x v="1"/>
    <s v="Non-Travel"/>
    <n v="1103"/>
    <x v="1"/>
    <n v="16"/>
    <n v="3"/>
    <s v="Medical"/>
    <n v="1"/>
    <n v="1947"/>
    <n v="3"/>
    <x v="1"/>
    <n v="49"/>
    <n v="3"/>
    <n v="1"/>
    <s v="Research Scientist"/>
    <n v="3"/>
    <s v="Single"/>
    <x v="1"/>
    <n v="2144"/>
    <n v="2122"/>
    <n v="1"/>
    <s v="Yes"/>
    <s v="No"/>
    <n v="14"/>
    <x v="0"/>
    <n v="3"/>
    <n v="80"/>
    <n v="0"/>
    <n v="5"/>
    <n v="3"/>
    <n v="2"/>
    <n v="5"/>
    <n v="3"/>
    <x v="1"/>
    <n v="4"/>
  </r>
  <r>
    <n v="31"/>
    <x v="1"/>
    <s v="Non-Travel"/>
    <n v="976"/>
    <x v="1"/>
    <n v="3"/>
    <n v="2"/>
    <s v="Medical"/>
    <n v="1"/>
    <n v="1948"/>
    <n v="3"/>
    <x v="1"/>
    <n v="48"/>
    <n v="3"/>
    <n v="1"/>
    <s v="Research Scientist"/>
    <n v="1"/>
    <s v="Divorced"/>
    <x v="2"/>
    <n v="3065"/>
    <n v="3995"/>
    <n v="1"/>
    <s v="Yes"/>
    <s v="Yes"/>
    <n v="13"/>
    <x v="0"/>
    <n v="4"/>
    <n v="80"/>
    <n v="1"/>
    <n v="4"/>
    <n v="3"/>
    <n v="4"/>
    <n v="4"/>
    <n v="2"/>
    <x v="3"/>
    <n v="3"/>
  </r>
  <r>
    <n v="36"/>
    <x v="1"/>
    <s v="Non-Travel"/>
    <n v="1351"/>
    <x v="1"/>
    <n v="9"/>
    <n v="4"/>
    <s v="Life Sciences"/>
    <n v="1"/>
    <n v="1949"/>
    <n v="1"/>
    <x v="1"/>
    <n v="66"/>
    <n v="4"/>
    <n v="1"/>
    <s v="Laboratory Technician"/>
    <n v="2"/>
    <s v="Married"/>
    <x v="1"/>
    <n v="2810"/>
    <n v="9238"/>
    <n v="1"/>
    <s v="Yes"/>
    <s v="No"/>
    <n v="22"/>
    <x v="1"/>
    <n v="2"/>
    <n v="80"/>
    <n v="0"/>
    <n v="5"/>
    <n v="3"/>
    <n v="3"/>
    <n v="5"/>
    <n v="4"/>
    <x v="0"/>
    <n v="2"/>
  </r>
  <r>
    <n v="34"/>
    <x v="1"/>
    <s v="Travel_Rarely"/>
    <n v="937"/>
    <x v="0"/>
    <n v="1"/>
    <n v="3"/>
    <s v="Marketing"/>
    <n v="1"/>
    <n v="1950"/>
    <n v="1"/>
    <x v="1"/>
    <n v="32"/>
    <n v="3"/>
    <n v="3"/>
    <s v="Sales Executive"/>
    <n v="4"/>
    <s v="Single"/>
    <x v="3"/>
    <n v="9888"/>
    <n v="6770"/>
    <n v="1"/>
    <s v="Yes"/>
    <s v="No"/>
    <n v="21"/>
    <x v="1"/>
    <n v="1"/>
    <n v="80"/>
    <n v="0"/>
    <n v="14"/>
    <n v="3"/>
    <n v="2"/>
    <n v="14"/>
    <n v="8"/>
    <x v="3"/>
    <n v="1"/>
  </r>
  <r>
    <n v="34"/>
    <x v="1"/>
    <s v="Travel_Rarely"/>
    <n v="1239"/>
    <x v="0"/>
    <n v="13"/>
    <n v="4"/>
    <s v="Medical"/>
    <n v="1"/>
    <n v="1951"/>
    <n v="4"/>
    <x v="1"/>
    <n v="39"/>
    <n v="3"/>
    <n v="3"/>
    <s v="Sales Executive"/>
    <n v="3"/>
    <s v="Divorced"/>
    <x v="12"/>
    <n v="8628"/>
    <n v="22914"/>
    <n v="1"/>
    <s v="Yes"/>
    <s v="No"/>
    <n v="18"/>
    <x v="0"/>
    <n v="3"/>
    <n v="80"/>
    <n v="1"/>
    <n v="9"/>
    <n v="2"/>
    <n v="2"/>
    <n v="8"/>
    <n v="7"/>
    <x v="1"/>
    <n v="1"/>
  </r>
  <r>
    <n v="26"/>
    <x v="1"/>
    <s v="Travel_Rarely"/>
    <n v="157"/>
    <x v="1"/>
    <n v="1"/>
    <n v="3"/>
    <s v="Medical"/>
    <n v="1"/>
    <n v="1952"/>
    <n v="3"/>
    <x v="1"/>
    <n v="95"/>
    <n v="3"/>
    <n v="1"/>
    <s v="Laboratory Technician"/>
    <n v="1"/>
    <s v="Single"/>
    <x v="1"/>
    <n v="2867"/>
    <n v="20006"/>
    <n v="0"/>
    <s v="Yes"/>
    <s v="No"/>
    <n v="13"/>
    <x v="0"/>
    <n v="4"/>
    <n v="80"/>
    <n v="0"/>
    <n v="8"/>
    <n v="6"/>
    <n v="2"/>
    <n v="7"/>
    <n v="7"/>
    <x v="4"/>
    <n v="6"/>
  </r>
  <r>
    <n v="29"/>
    <x v="1"/>
    <s v="Travel_Rarely"/>
    <n v="136"/>
    <x v="1"/>
    <n v="1"/>
    <n v="3"/>
    <s v="Life Sciences"/>
    <n v="1"/>
    <n v="1954"/>
    <n v="1"/>
    <x v="1"/>
    <n v="89"/>
    <n v="3"/>
    <n v="2"/>
    <s v="Healthcare Representative"/>
    <n v="1"/>
    <s v="Married"/>
    <x v="0"/>
    <n v="5373"/>
    <n v="6225"/>
    <n v="0"/>
    <s v="Yes"/>
    <s v="No"/>
    <n v="12"/>
    <x v="0"/>
    <n v="1"/>
    <n v="80"/>
    <n v="1"/>
    <n v="6"/>
    <n v="5"/>
    <n v="2"/>
    <n v="5"/>
    <n v="3"/>
    <x v="0"/>
    <n v="2"/>
  </r>
  <r>
    <n v="32"/>
    <x v="1"/>
    <s v="Non-Travel"/>
    <n v="1146"/>
    <x v="1"/>
    <n v="15"/>
    <n v="4"/>
    <s v="Medical"/>
    <n v="1"/>
    <n v="1955"/>
    <n v="3"/>
    <x v="0"/>
    <n v="34"/>
    <n v="3"/>
    <n v="2"/>
    <s v="Healthcare Representative"/>
    <n v="4"/>
    <s v="Divorced"/>
    <x v="9"/>
    <n v="6667"/>
    <n v="16542"/>
    <n v="5"/>
    <s v="Yes"/>
    <s v="No"/>
    <n v="18"/>
    <x v="0"/>
    <n v="2"/>
    <n v="80"/>
    <n v="1"/>
    <n v="9"/>
    <n v="6"/>
    <n v="3"/>
    <n v="5"/>
    <n v="1"/>
    <x v="1"/>
    <n v="2"/>
  </r>
  <r>
    <n v="31"/>
    <x v="1"/>
    <s v="Travel_Frequently"/>
    <n v="1125"/>
    <x v="1"/>
    <n v="1"/>
    <n v="3"/>
    <s v="Life Sciences"/>
    <n v="1"/>
    <n v="1956"/>
    <n v="4"/>
    <x v="1"/>
    <n v="48"/>
    <n v="1"/>
    <n v="2"/>
    <s v="Research Scientist"/>
    <n v="1"/>
    <s v="Married"/>
    <x v="0"/>
    <n v="5003"/>
    <n v="5771"/>
    <n v="1"/>
    <s v="Yes"/>
    <s v="No"/>
    <n v="21"/>
    <x v="1"/>
    <n v="2"/>
    <n v="80"/>
    <n v="0"/>
    <n v="10"/>
    <n v="6"/>
    <n v="3"/>
    <n v="10"/>
    <n v="8"/>
    <x v="6"/>
    <n v="7"/>
  </r>
  <r>
    <n v="28"/>
    <x v="0"/>
    <s v="Travel_Rarely"/>
    <n v="1404"/>
    <x v="1"/>
    <n v="17"/>
    <n v="3"/>
    <s v="Technical Degree"/>
    <n v="1"/>
    <n v="1960"/>
    <n v="3"/>
    <x v="1"/>
    <n v="32"/>
    <n v="2"/>
    <n v="1"/>
    <s v="Laboratory Technician"/>
    <n v="4"/>
    <s v="Divorced"/>
    <x v="1"/>
    <n v="2367"/>
    <n v="18779"/>
    <n v="5"/>
    <s v="Yes"/>
    <s v="No"/>
    <n v="12"/>
    <x v="0"/>
    <n v="1"/>
    <n v="80"/>
    <n v="1"/>
    <n v="6"/>
    <n v="2"/>
    <n v="2"/>
    <n v="4"/>
    <n v="1"/>
    <x v="0"/>
    <n v="3"/>
  </r>
  <r>
    <n v="38"/>
    <x v="1"/>
    <s v="Travel_Rarely"/>
    <n v="1404"/>
    <x v="0"/>
    <n v="1"/>
    <n v="3"/>
    <s v="Life Sciences"/>
    <n v="1"/>
    <n v="1961"/>
    <n v="1"/>
    <x v="1"/>
    <n v="59"/>
    <n v="2"/>
    <n v="1"/>
    <s v="Sales Representative"/>
    <n v="1"/>
    <s v="Single"/>
    <x v="1"/>
    <n v="2858"/>
    <n v="11473"/>
    <n v="4"/>
    <s v="Yes"/>
    <s v="No"/>
    <n v="14"/>
    <x v="0"/>
    <n v="1"/>
    <n v="80"/>
    <n v="0"/>
    <n v="20"/>
    <n v="3"/>
    <n v="2"/>
    <n v="1"/>
    <n v="0"/>
    <x v="0"/>
    <n v="0"/>
  </r>
  <r>
    <n v="35"/>
    <x v="1"/>
    <s v="Travel_Rarely"/>
    <n v="1224"/>
    <x v="0"/>
    <n v="7"/>
    <n v="4"/>
    <s v="Life Sciences"/>
    <n v="1"/>
    <n v="1962"/>
    <n v="3"/>
    <x v="0"/>
    <n v="55"/>
    <n v="3"/>
    <n v="2"/>
    <s v="Sales Executive"/>
    <n v="4"/>
    <s v="Married"/>
    <x v="0"/>
    <n v="5204"/>
    <n v="13586"/>
    <n v="1"/>
    <s v="Yes"/>
    <s v="Yes"/>
    <n v="11"/>
    <x v="0"/>
    <n v="4"/>
    <n v="80"/>
    <n v="0"/>
    <n v="10"/>
    <n v="2"/>
    <n v="3"/>
    <n v="10"/>
    <n v="8"/>
    <x v="0"/>
    <n v="9"/>
  </r>
  <r>
    <n v="27"/>
    <x v="1"/>
    <s v="Travel_Rarely"/>
    <n v="954"/>
    <x v="0"/>
    <n v="9"/>
    <n v="3"/>
    <s v="Marketing"/>
    <n v="1"/>
    <n v="1965"/>
    <n v="4"/>
    <x v="1"/>
    <n v="44"/>
    <n v="3"/>
    <n v="2"/>
    <s v="Sales Executive"/>
    <n v="4"/>
    <s v="Single"/>
    <x v="4"/>
    <n v="4105"/>
    <n v="5099"/>
    <n v="1"/>
    <s v="Yes"/>
    <s v="No"/>
    <n v="14"/>
    <x v="0"/>
    <n v="1"/>
    <n v="80"/>
    <n v="0"/>
    <n v="7"/>
    <n v="5"/>
    <n v="3"/>
    <n v="7"/>
    <n v="7"/>
    <x v="0"/>
    <n v="7"/>
  </r>
  <r>
    <n v="32"/>
    <x v="1"/>
    <s v="Travel_Rarely"/>
    <n v="1373"/>
    <x v="1"/>
    <n v="5"/>
    <n v="4"/>
    <s v="Life Sciences"/>
    <n v="1"/>
    <n v="1966"/>
    <n v="4"/>
    <x v="1"/>
    <n v="56"/>
    <n v="2"/>
    <n v="2"/>
    <s v="Manufacturing Director"/>
    <n v="4"/>
    <s v="Single"/>
    <x v="3"/>
    <n v="9679"/>
    <n v="10138"/>
    <n v="8"/>
    <s v="Yes"/>
    <s v="No"/>
    <n v="24"/>
    <x v="1"/>
    <n v="2"/>
    <n v="80"/>
    <n v="0"/>
    <n v="8"/>
    <n v="1"/>
    <n v="3"/>
    <n v="1"/>
    <n v="0"/>
    <x v="0"/>
    <n v="0"/>
  </r>
  <r>
    <n v="31"/>
    <x v="0"/>
    <s v="Travel_Frequently"/>
    <n v="754"/>
    <x v="0"/>
    <n v="26"/>
    <n v="4"/>
    <s v="Marketing"/>
    <n v="1"/>
    <n v="1967"/>
    <n v="1"/>
    <x v="1"/>
    <n v="63"/>
    <n v="3"/>
    <n v="2"/>
    <s v="Sales Executive"/>
    <n v="4"/>
    <s v="Married"/>
    <x v="0"/>
    <n v="5617"/>
    <n v="21075"/>
    <n v="1"/>
    <s v="Yes"/>
    <s v="Yes"/>
    <n v="11"/>
    <x v="0"/>
    <n v="3"/>
    <n v="80"/>
    <n v="0"/>
    <n v="10"/>
    <n v="4"/>
    <n v="3"/>
    <n v="10"/>
    <n v="7"/>
    <x v="0"/>
    <n v="8"/>
  </r>
  <r>
    <n v="53"/>
    <x v="0"/>
    <s v="Travel_Rarely"/>
    <n v="1168"/>
    <x v="0"/>
    <n v="24"/>
    <n v="4"/>
    <s v="Life Sciences"/>
    <n v="1"/>
    <n v="1968"/>
    <n v="1"/>
    <x v="1"/>
    <n v="66"/>
    <n v="3"/>
    <n v="3"/>
    <s v="Sales Executive"/>
    <n v="1"/>
    <s v="Single"/>
    <x v="10"/>
    <n v="10448"/>
    <n v="5843"/>
    <n v="6"/>
    <s v="Yes"/>
    <s v="Yes"/>
    <n v="13"/>
    <x v="0"/>
    <n v="2"/>
    <n v="80"/>
    <n v="0"/>
    <n v="15"/>
    <n v="2"/>
    <n v="2"/>
    <n v="2"/>
    <n v="2"/>
    <x v="3"/>
    <n v="2"/>
  </r>
  <r>
    <n v="54"/>
    <x v="1"/>
    <s v="Travel_Rarely"/>
    <n v="155"/>
    <x v="1"/>
    <n v="9"/>
    <n v="2"/>
    <s v="Life Sciences"/>
    <n v="1"/>
    <n v="1969"/>
    <n v="1"/>
    <x v="0"/>
    <n v="67"/>
    <n v="3"/>
    <n v="2"/>
    <s v="Research Scientist"/>
    <n v="3"/>
    <s v="Married"/>
    <x v="1"/>
    <n v="2897"/>
    <n v="22474"/>
    <n v="3"/>
    <s v="Yes"/>
    <s v="No"/>
    <n v="11"/>
    <x v="0"/>
    <n v="3"/>
    <n v="80"/>
    <n v="2"/>
    <n v="9"/>
    <n v="6"/>
    <n v="2"/>
    <n v="4"/>
    <n v="3"/>
    <x v="3"/>
    <n v="3"/>
  </r>
  <r>
    <n v="33"/>
    <x v="1"/>
    <s v="Travel_Frequently"/>
    <n v="1303"/>
    <x v="1"/>
    <n v="7"/>
    <n v="2"/>
    <s v="Life Sciences"/>
    <n v="1"/>
    <n v="1970"/>
    <n v="4"/>
    <x v="1"/>
    <n v="36"/>
    <n v="3"/>
    <n v="2"/>
    <s v="Healthcare Representative"/>
    <n v="3"/>
    <s v="Divorced"/>
    <x v="0"/>
    <n v="5968"/>
    <n v="18079"/>
    <n v="1"/>
    <s v="Yes"/>
    <s v="No"/>
    <n v="20"/>
    <x v="1"/>
    <n v="3"/>
    <n v="80"/>
    <n v="3"/>
    <n v="9"/>
    <n v="2"/>
    <n v="3"/>
    <n v="9"/>
    <n v="7"/>
    <x v="3"/>
    <n v="8"/>
  </r>
  <r>
    <n v="43"/>
    <x v="1"/>
    <s v="Travel_Rarely"/>
    <n v="574"/>
    <x v="1"/>
    <n v="11"/>
    <n v="3"/>
    <s v="Life Sciences"/>
    <n v="1"/>
    <n v="1971"/>
    <n v="1"/>
    <x v="1"/>
    <n v="30"/>
    <n v="3"/>
    <n v="3"/>
    <s v="Healthcare Representative"/>
    <n v="3"/>
    <s v="Married"/>
    <x v="14"/>
    <n v="7510"/>
    <n v="16873"/>
    <n v="1"/>
    <s v="Yes"/>
    <s v="No"/>
    <n v="17"/>
    <x v="0"/>
    <n v="2"/>
    <n v="80"/>
    <n v="1"/>
    <n v="10"/>
    <n v="1"/>
    <n v="3"/>
    <n v="10"/>
    <n v="9"/>
    <x v="0"/>
    <n v="9"/>
  </r>
  <r>
    <n v="38"/>
    <x v="1"/>
    <s v="Travel_Frequently"/>
    <n v="1444"/>
    <x v="2"/>
    <n v="1"/>
    <n v="4"/>
    <s v="Other"/>
    <n v="1"/>
    <n v="1972"/>
    <n v="4"/>
    <x v="1"/>
    <n v="88"/>
    <n v="3"/>
    <n v="1"/>
    <s v="Human Resources"/>
    <n v="2"/>
    <s v="Married"/>
    <x v="1"/>
    <n v="2991"/>
    <n v="5224"/>
    <n v="0"/>
    <s v="Yes"/>
    <s v="Yes"/>
    <n v="11"/>
    <x v="0"/>
    <n v="2"/>
    <n v="80"/>
    <n v="1"/>
    <n v="7"/>
    <n v="2"/>
    <n v="3"/>
    <n v="6"/>
    <n v="2"/>
    <x v="1"/>
    <n v="2"/>
  </r>
  <r>
    <n v="55"/>
    <x v="1"/>
    <s v="Travel_Rarely"/>
    <n v="189"/>
    <x v="2"/>
    <n v="26"/>
    <n v="4"/>
    <s v="Human Resources"/>
    <n v="1"/>
    <n v="1973"/>
    <n v="3"/>
    <x v="1"/>
    <n v="71"/>
    <n v="4"/>
    <n v="5"/>
    <s v="Manager"/>
    <n v="2"/>
    <s v="Married"/>
    <x v="8"/>
    <n v="19636"/>
    <n v="25811"/>
    <n v="4"/>
    <s v="Yes"/>
    <s v="Yes"/>
    <n v="18"/>
    <x v="0"/>
    <n v="1"/>
    <n v="80"/>
    <n v="1"/>
    <n v="35"/>
    <n v="0"/>
    <n v="3"/>
    <n v="10"/>
    <n v="9"/>
    <x v="1"/>
    <n v="4"/>
  </r>
  <r>
    <n v="31"/>
    <x v="1"/>
    <s v="Travel_Rarely"/>
    <n v="1276"/>
    <x v="1"/>
    <n v="2"/>
    <n v="1"/>
    <s v="Medical"/>
    <n v="1"/>
    <n v="1974"/>
    <n v="4"/>
    <x v="0"/>
    <n v="59"/>
    <n v="1"/>
    <n v="1"/>
    <s v="Laboratory Technician"/>
    <n v="4"/>
    <s v="Divorced"/>
    <x v="7"/>
    <n v="1129"/>
    <n v="17536"/>
    <n v="1"/>
    <s v="Yes"/>
    <s v="Yes"/>
    <n v="11"/>
    <x v="0"/>
    <n v="3"/>
    <n v="80"/>
    <n v="3"/>
    <n v="1"/>
    <n v="4"/>
    <n v="3"/>
    <n v="1"/>
    <n v="0"/>
    <x v="0"/>
    <n v="0"/>
  </r>
  <r>
    <n v="39"/>
    <x v="1"/>
    <s v="Travel_Rarely"/>
    <n v="119"/>
    <x v="0"/>
    <n v="15"/>
    <n v="4"/>
    <s v="Marketing"/>
    <n v="1"/>
    <n v="1975"/>
    <n v="2"/>
    <x v="1"/>
    <n v="77"/>
    <n v="3"/>
    <n v="4"/>
    <s v="Sales Executive"/>
    <n v="1"/>
    <s v="Single"/>
    <x v="13"/>
    <n v="13341"/>
    <n v="25098"/>
    <n v="0"/>
    <s v="Yes"/>
    <s v="No"/>
    <n v="12"/>
    <x v="0"/>
    <n v="1"/>
    <n v="80"/>
    <n v="0"/>
    <n v="21"/>
    <n v="3"/>
    <n v="3"/>
    <n v="20"/>
    <n v="8"/>
    <x v="14"/>
    <n v="10"/>
  </r>
  <r>
    <n v="42"/>
    <x v="1"/>
    <s v="Non-Travel"/>
    <n v="335"/>
    <x v="1"/>
    <n v="23"/>
    <n v="2"/>
    <s v="Life Sciences"/>
    <n v="1"/>
    <n v="1976"/>
    <n v="4"/>
    <x v="1"/>
    <n v="37"/>
    <n v="2"/>
    <n v="2"/>
    <s v="Research Scientist"/>
    <n v="3"/>
    <s v="Single"/>
    <x v="4"/>
    <n v="4332"/>
    <n v="14811"/>
    <n v="1"/>
    <s v="Yes"/>
    <s v="No"/>
    <n v="12"/>
    <x v="0"/>
    <n v="4"/>
    <n v="80"/>
    <n v="0"/>
    <n v="20"/>
    <n v="2"/>
    <n v="3"/>
    <n v="20"/>
    <n v="9"/>
    <x v="2"/>
    <n v="7"/>
  </r>
  <r>
    <n v="31"/>
    <x v="1"/>
    <s v="Non-Travel"/>
    <n v="697"/>
    <x v="1"/>
    <n v="10"/>
    <n v="3"/>
    <s v="Medical"/>
    <n v="1"/>
    <n v="1979"/>
    <n v="3"/>
    <x v="0"/>
    <n v="40"/>
    <n v="3"/>
    <n v="3"/>
    <s v="Research Director"/>
    <n v="3"/>
    <s v="Married"/>
    <x v="6"/>
    <n v="11031"/>
    <n v="26862"/>
    <n v="4"/>
    <s v="Yes"/>
    <s v="No"/>
    <n v="20"/>
    <x v="1"/>
    <n v="3"/>
    <n v="80"/>
    <n v="1"/>
    <n v="13"/>
    <n v="2"/>
    <n v="4"/>
    <n v="11"/>
    <n v="7"/>
    <x v="5"/>
    <n v="8"/>
  </r>
  <r>
    <n v="54"/>
    <x v="1"/>
    <s v="Travel_Rarely"/>
    <n v="157"/>
    <x v="1"/>
    <n v="10"/>
    <n v="3"/>
    <s v="Medical"/>
    <n v="1"/>
    <n v="1980"/>
    <n v="3"/>
    <x v="0"/>
    <n v="77"/>
    <n v="3"/>
    <n v="2"/>
    <s v="Manufacturing Director"/>
    <n v="1"/>
    <s v="Single"/>
    <x v="4"/>
    <n v="4440"/>
    <n v="25198"/>
    <n v="6"/>
    <s v="Yes"/>
    <s v="Yes"/>
    <n v="19"/>
    <x v="0"/>
    <n v="4"/>
    <n v="80"/>
    <n v="0"/>
    <n v="9"/>
    <n v="3"/>
    <n v="3"/>
    <n v="5"/>
    <n v="2"/>
    <x v="1"/>
    <n v="4"/>
  </r>
  <r>
    <n v="24"/>
    <x v="1"/>
    <s v="Travel_Rarely"/>
    <n v="771"/>
    <x v="1"/>
    <n v="1"/>
    <n v="2"/>
    <s v="Life Sciences"/>
    <n v="1"/>
    <n v="1981"/>
    <n v="2"/>
    <x v="1"/>
    <n v="45"/>
    <n v="2"/>
    <n v="2"/>
    <s v="Healthcare Representative"/>
    <n v="3"/>
    <s v="Single"/>
    <x v="4"/>
    <n v="4617"/>
    <n v="14120"/>
    <n v="1"/>
    <s v="Yes"/>
    <s v="No"/>
    <n v="12"/>
    <x v="0"/>
    <n v="2"/>
    <n v="80"/>
    <n v="0"/>
    <n v="4"/>
    <n v="2"/>
    <n v="2"/>
    <n v="4"/>
    <n v="3"/>
    <x v="1"/>
    <n v="2"/>
  </r>
  <r>
    <n v="23"/>
    <x v="1"/>
    <s v="Travel_Rarely"/>
    <n v="571"/>
    <x v="1"/>
    <n v="12"/>
    <n v="2"/>
    <s v="Other"/>
    <n v="1"/>
    <n v="1982"/>
    <n v="4"/>
    <x v="1"/>
    <n v="78"/>
    <n v="3"/>
    <n v="1"/>
    <s v="Laboratory Technician"/>
    <n v="4"/>
    <s v="Single"/>
    <x v="1"/>
    <n v="2647"/>
    <n v="13672"/>
    <n v="1"/>
    <s v="Yes"/>
    <s v="No"/>
    <n v="13"/>
    <x v="0"/>
    <n v="3"/>
    <n v="80"/>
    <n v="0"/>
    <n v="5"/>
    <n v="6"/>
    <n v="4"/>
    <n v="5"/>
    <n v="2"/>
    <x v="1"/>
    <n v="4"/>
  </r>
  <r>
    <n v="40"/>
    <x v="1"/>
    <s v="Travel_Frequently"/>
    <n v="692"/>
    <x v="1"/>
    <n v="11"/>
    <n v="3"/>
    <s v="Technical Degree"/>
    <n v="1"/>
    <n v="1985"/>
    <n v="4"/>
    <x v="0"/>
    <n v="73"/>
    <n v="3"/>
    <n v="2"/>
    <s v="Laboratory Technician"/>
    <n v="3"/>
    <s v="Married"/>
    <x v="9"/>
    <n v="6323"/>
    <n v="26849"/>
    <n v="1"/>
    <s v="Yes"/>
    <s v="No"/>
    <n v="11"/>
    <x v="0"/>
    <n v="1"/>
    <n v="80"/>
    <n v="1"/>
    <n v="10"/>
    <n v="2"/>
    <n v="4"/>
    <n v="10"/>
    <n v="9"/>
    <x v="10"/>
    <n v="4"/>
  </r>
  <r>
    <n v="40"/>
    <x v="1"/>
    <s v="Travel_Rarely"/>
    <n v="444"/>
    <x v="0"/>
    <n v="2"/>
    <n v="2"/>
    <s v="Marketing"/>
    <n v="1"/>
    <n v="1986"/>
    <n v="2"/>
    <x v="0"/>
    <n v="92"/>
    <n v="3"/>
    <n v="2"/>
    <s v="Sales Executive"/>
    <n v="2"/>
    <s v="Married"/>
    <x v="0"/>
    <n v="5677"/>
    <n v="4258"/>
    <n v="3"/>
    <s v="Yes"/>
    <s v="No"/>
    <n v="14"/>
    <x v="0"/>
    <n v="3"/>
    <n v="80"/>
    <n v="1"/>
    <n v="15"/>
    <n v="4"/>
    <n v="3"/>
    <n v="11"/>
    <n v="8"/>
    <x v="8"/>
    <n v="10"/>
  </r>
  <r>
    <n v="25"/>
    <x v="1"/>
    <s v="Travel_Rarely"/>
    <n v="309"/>
    <x v="2"/>
    <n v="2"/>
    <n v="3"/>
    <s v="Human Resources"/>
    <n v="1"/>
    <n v="1987"/>
    <n v="3"/>
    <x v="0"/>
    <n v="82"/>
    <n v="3"/>
    <n v="1"/>
    <s v="Human Resources"/>
    <n v="2"/>
    <s v="Married"/>
    <x v="1"/>
    <n v="2187"/>
    <n v="19655"/>
    <n v="4"/>
    <s v="Yes"/>
    <s v="No"/>
    <n v="14"/>
    <x v="0"/>
    <n v="3"/>
    <n v="80"/>
    <n v="0"/>
    <n v="6"/>
    <n v="3"/>
    <n v="3"/>
    <n v="2"/>
    <n v="0"/>
    <x v="1"/>
    <n v="2"/>
  </r>
  <r>
    <n v="30"/>
    <x v="1"/>
    <s v="Travel_Rarely"/>
    <n v="911"/>
    <x v="1"/>
    <n v="1"/>
    <n v="2"/>
    <s v="Medical"/>
    <n v="1"/>
    <n v="1989"/>
    <n v="4"/>
    <x v="1"/>
    <n v="76"/>
    <n v="3"/>
    <n v="1"/>
    <s v="Laboratory Technician"/>
    <n v="2"/>
    <s v="Married"/>
    <x v="2"/>
    <n v="3748"/>
    <n v="4077"/>
    <n v="1"/>
    <s v="Yes"/>
    <s v="No"/>
    <n v="13"/>
    <x v="0"/>
    <n v="3"/>
    <n v="80"/>
    <n v="0"/>
    <n v="12"/>
    <n v="6"/>
    <n v="2"/>
    <n v="12"/>
    <n v="8"/>
    <x v="1"/>
    <n v="7"/>
  </r>
  <r>
    <n v="25"/>
    <x v="1"/>
    <s v="Travel_Rarely"/>
    <n v="977"/>
    <x v="1"/>
    <n v="2"/>
    <n v="1"/>
    <s v="Other"/>
    <n v="1"/>
    <n v="1992"/>
    <n v="4"/>
    <x v="1"/>
    <n v="57"/>
    <n v="3"/>
    <n v="1"/>
    <s v="Laboratory Technician"/>
    <n v="3"/>
    <s v="Divorced"/>
    <x v="2"/>
    <n v="3977"/>
    <n v="7298"/>
    <n v="6"/>
    <s v="Yes"/>
    <s v="Yes"/>
    <n v="19"/>
    <x v="0"/>
    <n v="3"/>
    <n v="80"/>
    <n v="1"/>
    <n v="7"/>
    <n v="2"/>
    <n v="2"/>
    <n v="2"/>
    <n v="2"/>
    <x v="0"/>
    <n v="2"/>
  </r>
  <r>
    <n v="47"/>
    <x v="1"/>
    <s v="Travel_Rarely"/>
    <n v="1180"/>
    <x v="1"/>
    <n v="25"/>
    <n v="3"/>
    <s v="Medical"/>
    <n v="1"/>
    <n v="1993"/>
    <n v="1"/>
    <x v="1"/>
    <n v="84"/>
    <n v="3"/>
    <n v="3"/>
    <s v="Healthcare Representative"/>
    <n v="3"/>
    <s v="Single"/>
    <x v="12"/>
    <n v="8633"/>
    <n v="13084"/>
    <n v="2"/>
    <s v="Yes"/>
    <s v="No"/>
    <n v="23"/>
    <x v="1"/>
    <n v="2"/>
    <n v="80"/>
    <n v="0"/>
    <n v="25"/>
    <n v="3"/>
    <n v="3"/>
    <n v="17"/>
    <n v="14"/>
    <x v="12"/>
    <n v="11"/>
  </r>
  <r>
    <n v="33"/>
    <x v="1"/>
    <s v="Non-Travel"/>
    <n v="1313"/>
    <x v="1"/>
    <n v="1"/>
    <n v="2"/>
    <s v="Medical"/>
    <n v="1"/>
    <n v="1994"/>
    <n v="2"/>
    <x v="1"/>
    <n v="59"/>
    <n v="2"/>
    <n v="1"/>
    <s v="Laboratory Technician"/>
    <n v="3"/>
    <s v="Divorced"/>
    <x v="1"/>
    <n v="2008"/>
    <n v="20439"/>
    <n v="1"/>
    <s v="Yes"/>
    <s v="No"/>
    <n v="12"/>
    <x v="0"/>
    <n v="3"/>
    <n v="80"/>
    <n v="3"/>
    <n v="1"/>
    <n v="2"/>
    <n v="2"/>
    <n v="1"/>
    <n v="1"/>
    <x v="0"/>
    <n v="0"/>
  </r>
  <r>
    <n v="38"/>
    <x v="1"/>
    <s v="Travel_Rarely"/>
    <n v="1321"/>
    <x v="0"/>
    <n v="1"/>
    <n v="4"/>
    <s v="Life Sciences"/>
    <n v="1"/>
    <n v="1995"/>
    <n v="4"/>
    <x v="1"/>
    <n v="86"/>
    <n v="3"/>
    <n v="2"/>
    <s v="Sales Executive"/>
    <n v="2"/>
    <s v="Married"/>
    <x v="4"/>
    <n v="4440"/>
    <n v="7636"/>
    <n v="0"/>
    <s v="Yes"/>
    <s v="No"/>
    <n v="15"/>
    <x v="0"/>
    <n v="1"/>
    <n v="80"/>
    <n v="2"/>
    <n v="16"/>
    <n v="3"/>
    <n v="3"/>
    <n v="15"/>
    <n v="13"/>
    <x v="8"/>
    <n v="8"/>
  </r>
  <r>
    <n v="31"/>
    <x v="1"/>
    <s v="Travel_Rarely"/>
    <n v="1154"/>
    <x v="0"/>
    <n v="2"/>
    <n v="2"/>
    <s v="Life Sciences"/>
    <n v="1"/>
    <n v="1996"/>
    <n v="1"/>
    <x v="1"/>
    <n v="54"/>
    <n v="3"/>
    <n v="1"/>
    <s v="Sales Representative"/>
    <n v="3"/>
    <s v="Married"/>
    <x v="2"/>
    <n v="3067"/>
    <n v="6393"/>
    <n v="0"/>
    <s v="Yes"/>
    <s v="No"/>
    <n v="19"/>
    <x v="0"/>
    <n v="3"/>
    <n v="80"/>
    <n v="1"/>
    <n v="3"/>
    <n v="1"/>
    <n v="3"/>
    <n v="2"/>
    <n v="2"/>
    <x v="1"/>
    <n v="2"/>
  </r>
  <r>
    <n v="38"/>
    <x v="1"/>
    <s v="Travel_Frequently"/>
    <n v="508"/>
    <x v="1"/>
    <n v="6"/>
    <n v="4"/>
    <s v="Life Sciences"/>
    <n v="1"/>
    <n v="1997"/>
    <n v="1"/>
    <x v="1"/>
    <n v="72"/>
    <n v="2"/>
    <n v="2"/>
    <s v="Manufacturing Director"/>
    <n v="3"/>
    <s v="Married"/>
    <x v="0"/>
    <n v="5321"/>
    <n v="14284"/>
    <n v="2"/>
    <s v="Yes"/>
    <s v="No"/>
    <n v="11"/>
    <x v="0"/>
    <n v="4"/>
    <n v="80"/>
    <n v="1"/>
    <n v="10"/>
    <n v="1"/>
    <n v="3"/>
    <n v="8"/>
    <n v="3"/>
    <x v="4"/>
    <n v="7"/>
  </r>
  <r>
    <n v="42"/>
    <x v="1"/>
    <s v="Travel_Rarely"/>
    <n v="557"/>
    <x v="1"/>
    <n v="18"/>
    <n v="4"/>
    <s v="Life Sciences"/>
    <n v="1"/>
    <n v="1998"/>
    <n v="4"/>
    <x v="1"/>
    <n v="35"/>
    <n v="3"/>
    <n v="2"/>
    <s v="Research Scientist"/>
    <n v="1"/>
    <s v="Divorced"/>
    <x v="0"/>
    <n v="5410"/>
    <n v="11189"/>
    <n v="6"/>
    <s v="Yes"/>
    <s v="Yes"/>
    <n v="17"/>
    <x v="0"/>
    <n v="3"/>
    <n v="80"/>
    <n v="1"/>
    <n v="9"/>
    <n v="3"/>
    <n v="2"/>
    <n v="4"/>
    <n v="3"/>
    <x v="1"/>
    <n v="2"/>
  </r>
  <r>
    <n v="41"/>
    <x v="1"/>
    <s v="Travel_Rarely"/>
    <n v="642"/>
    <x v="1"/>
    <n v="1"/>
    <n v="3"/>
    <s v="Life Sciences"/>
    <n v="1"/>
    <n v="1999"/>
    <n v="4"/>
    <x v="1"/>
    <n v="76"/>
    <n v="3"/>
    <n v="1"/>
    <s v="Research Scientist"/>
    <n v="4"/>
    <s v="Married"/>
    <x v="1"/>
    <n v="2782"/>
    <n v="21412"/>
    <n v="3"/>
    <s v="Yes"/>
    <s v="No"/>
    <n v="22"/>
    <x v="1"/>
    <n v="1"/>
    <n v="80"/>
    <n v="1"/>
    <n v="12"/>
    <n v="3"/>
    <n v="3"/>
    <n v="5"/>
    <n v="3"/>
    <x v="1"/>
    <n v="0"/>
  </r>
  <r>
    <n v="47"/>
    <x v="1"/>
    <s v="Non-Travel"/>
    <n v="1162"/>
    <x v="1"/>
    <n v="1"/>
    <n v="1"/>
    <s v="Medical"/>
    <n v="1"/>
    <n v="2000"/>
    <n v="3"/>
    <x v="0"/>
    <n v="98"/>
    <n v="3"/>
    <n v="3"/>
    <s v="Research Director"/>
    <n v="2"/>
    <s v="Married"/>
    <x v="6"/>
    <n v="11957"/>
    <n v="17231"/>
    <n v="0"/>
    <s v="Yes"/>
    <s v="No"/>
    <n v="18"/>
    <x v="0"/>
    <n v="1"/>
    <n v="80"/>
    <n v="2"/>
    <n v="14"/>
    <n v="3"/>
    <n v="1"/>
    <n v="13"/>
    <n v="8"/>
    <x v="8"/>
    <n v="12"/>
  </r>
  <r>
    <n v="35"/>
    <x v="1"/>
    <s v="Travel_Rarely"/>
    <n v="1490"/>
    <x v="1"/>
    <n v="11"/>
    <n v="4"/>
    <s v="Medical"/>
    <n v="1"/>
    <n v="2003"/>
    <n v="4"/>
    <x v="1"/>
    <n v="43"/>
    <n v="3"/>
    <n v="1"/>
    <s v="Laboratory Technician"/>
    <n v="3"/>
    <s v="Married"/>
    <x v="1"/>
    <n v="2660"/>
    <n v="20232"/>
    <n v="7"/>
    <s v="Yes"/>
    <s v="Yes"/>
    <n v="11"/>
    <x v="0"/>
    <n v="3"/>
    <n v="80"/>
    <n v="1"/>
    <n v="5"/>
    <n v="3"/>
    <n v="3"/>
    <n v="2"/>
    <n v="2"/>
    <x v="3"/>
    <n v="2"/>
  </r>
  <r>
    <n v="22"/>
    <x v="1"/>
    <s v="Travel_Rarely"/>
    <n v="581"/>
    <x v="1"/>
    <n v="1"/>
    <n v="2"/>
    <s v="Life Sciences"/>
    <n v="1"/>
    <n v="2007"/>
    <n v="4"/>
    <x v="1"/>
    <n v="63"/>
    <n v="3"/>
    <n v="1"/>
    <s v="Research Scientist"/>
    <n v="3"/>
    <s v="Single"/>
    <x v="2"/>
    <n v="3375"/>
    <n v="17624"/>
    <n v="0"/>
    <s v="Yes"/>
    <s v="No"/>
    <n v="12"/>
    <x v="0"/>
    <n v="4"/>
    <n v="80"/>
    <n v="0"/>
    <n v="4"/>
    <n v="2"/>
    <n v="4"/>
    <n v="3"/>
    <n v="2"/>
    <x v="1"/>
    <n v="2"/>
  </r>
  <r>
    <n v="35"/>
    <x v="1"/>
    <s v="Travel_Rarely"/>
    <n v="1395"/>
    <x v="1"/>
    <n v="9"/>
    <n v="4"/>
    <s v="Medical"/>
    <n v="1"/>
    <n v="2008"/>
    <n v="2"/>
    <x v="1"/>
    <n v="48"/>
    <n v="3"/>
    <n v="2"/>
    <s v="Research Scientist"/>
    <n v="3"/>
    <s v="Single"/>
    <x v="0"/>
    <n v="5098"/>
    <n v="18698"/>
    <n v="1"/>
    <s v="Yes"/>
    <s v="No"/>
    <n v="19"/>
    <x v="0"/>
    <n v="2"/>
    <n v="80"/>
    <n v="0"/>
    <n v="10"/>
    <n v="5"/>
    <n v="3"/>
    <n v="10"/>
    <n v="7"/>
    <x v="0"/>
    <n v="8"/>
  </r>
  <r>
    <n v="33"/>
    <x v="1"/>
    <s v="Travel_Rarely"/>
    <n v="501"/>
    <x v="1"/>
    <n v="15"/>
    <n v="2"/>
    <s v="Medical"/>
    <n v="1"/>
    <n v="2009"/>
    <n v="2"/>
    <x v="0"/>
    <n v="95"/>
    <n v="3"/>
    <n v="2"/>
    <s v="Healthcare Representative"/>
    <n v="4"/>
    <s v="Married"/>
    <x v="4"/>
    <n v="4878"/>
    <n v="21653"/>
    <n v="0"/>
    <s v="Yes"/>
    <s v="Yes"/>
    <n v="13"/>
    <x v="0"/>
    <n v="1"/>
    <n v="80"/>
    <n v="1"/>
    <n v="10"/>
    <n v="6"/>
    <n v="3"/>
    <n v="9"/>
    <n v="7"/>
    <x v="6"/>
    <n v="1"/>
  </r>
  <r>
    <n v="32"/>
    <x v="1"/>
    <s v="Travel_Rarely"/>
    <n v="267"/>
    <x v="1"/>
    <n v="29"/>
    <n v="4"/>
    <s v="Life Sciences"/>
    <n v="1"/>
    <n v="2010"/>
    <n v="3"/>
    <x v="0"/>
    <n v="49"/>
    <n v="2"/>
    <n v="1"/>
    <s v="Laboratory Technician"/>
    <n v="2"/>
    <s v="Single"/>
    <x v="1"/>
    <n v="2837"/>
    <n v="15919"/>
    <n v="1"/>
    <s v="Yes"/>
    <s v="No"/>
    <n v="13"/>
    <x v="0"/>
    <n v="3"/>
    <n v="80"/>
    <n v="0"/>
    <n v="6"/>
    <n v="3"/>
    <n v="3"/>
    <n v="6"/>
    <n v="2"/>
    <x v="5"/>
    <n v="1"/>
  </r>
  <r>
    <n v="40"/>
    <x v="1"/>
    <s v="Travel_Rarely"/>
    <n v="543"/>
    <x v="1"/>
    <n v="1"/>
    <n v="4"/>
    <s v="Life Sciences"/>
    <n v="1"/>
    <n v="2012"/>
    <n v="1"/>
    <x v="1"/>
    <n v="83"/>
    <n v="3"/>
    <n v="1"/>
    <s v="Laboratory Technician"/>
    <n v="4"/>
    <s v="Married"/>
    <x v="1"/>
    <n v="2406"/>
    <n v="4060"/>
    <n v="8"/>
    <s v="Yes"/>
    <s v="No"/>
    <n v="19"/>
    <x v="0"/>
    <n v="3"/>
    <n v="80"/>
    <n v="2"/>
    <n v="8"/>
    <n v="3"/>
    <n v="2"/>
    <n v="1"/>
    <n v="0"/>
    <x v="0"/>
    <n v="0"/>
  </r>
  <r>
    <n v="32"/>
    <x v="1"/>
    <s v="Travel_Rarely"/>
    <n v="234"/>
    <x v="0"/>
    <n v="1"/>
    <n v="4"/>
    <s v="Medical"/>
    <n v="1"/>
    <n v="2013"/>
    <n v="2"/>
    <x v="1"/>
    <n v="68"/>
    <n v="2"/>
    <n v="1"/>
    <s v="Sales Representative"/>
    <n v="2"/>
    <s v="Married"/>
    <x v="1"/>
    <n v="2269"/>
    <n v="18024"/>
    <n v="0"/>
    <s v="Yes"/>
    <s v="No"/>
    <n v="14"/>
    <x v="0"/>
    <n v="2"/>
    <n v="80"/>
    <n v="1"/>
    <n v="3"/>
    <n v="2"/>
    <n v="3"/>
    <n v="2"/>
    <n v="2"/>
    <x v="3"/>
    <n v="2"/>
  </r>
  <r>
    <n v="39"/>
    <x v="1"/>
    <s v="Travel_Rarely"/>
    <n v="116"/>
    <x v="1"/>
    <n v="24"/>
    <n v="1"/>
    <s v="Life Sciences"/>
    <n v="1"/>
    <n v="2014"/>
    <n v="1"/>
    <x v="1"/>
    <n v="52"/>
    <n v="3"/>
    <n v="2"/>
    <s v="Research Scientist"/>
    <n v="4"/>
    <s v="Single"/>
    <x v="4"/>
    <n v="4108"/>
    <n v="5340"/>
    <n v="7"/>
    <s v="Yes"/>
    <s v="No"/>
    <n v="13"/>
    <x v="0"/>
    <n v="1"/>
    <n v="80"/>
    <n v="0"/>
    <n v="18"/>
    <n v="2"/>
    <n v="3"/>
    <n v="7"/>
    <n v="7"/>
    <x v="1"/>
    <n v="7"/>
  </r>
  <r>
    <n v="38"/>
    <x v="1"/>
    <s v="Travel_Rarely"/>
    <n v="201"/>
    <x v="1"/>
    <n v="10"/>
    <n v="3"/>
    <s v="Medical"/>
    <n v="1"/>
    <n v="2015"/>
    <n v="2"/>
    <x v="0"/>
    <n v="99"/>
    <n v="1"/>
    <n v="3"/>
    <s v="Research Director"/>
    <n v="3"/>
    <s v="Married"/>
    <x v="13"/>
    <n v="13206"/>
    <n v="3376"/>
    <n v="3"/>
    <s v="Yes"/>
    <s v="No"/>
    <n v="12"/>
    <x v="0"/>
    <n v="1"/>
    <n v="80"/>
    <n v="1"/>
    <n v="20"/>
    <n v="3"/>
    <n v="3"/>
    <n v="18"/>
    <n v="16"/>
    <x v="1"/>
    <n v="11"/>
  </r>
  <r>
    <n v="32"/>
    <x v="1"/>
    <s v="Travel_Rarely"/>
    <n v="801"/>
    <x v="0"/>
    <n v="1"/>
    <n v="4"/>
    <s v="Marketing"/>
    <n v="1"/>
    <n v="2016"/>
    <n v="3"/>
    <x v="0"/>
    <n v="48"/>
    <n v="3"/>
    <n v="3"/>
    <s v="Sales Executive"/>
    <n v="4"/>
    <s v="Married"/>
    <x v="10"/>
    <n v="10422"/>
    <n v="24032"/>
    <n v="1"/>
    <s v="Yes"/>
    <s v="No"/>
    <n v="19"/>
    <x v="0"/>
    <n v="3"/>
    <n v="80"/>
    <n v="2"/>
    <n v="14"/>
    <n v="3"/>
    <n v="3"/>
    <n v="14"/>
    <n v="10"/>
    <x v="8"/>
    <n v="7"/>
  </r>
  <r>
    <n v="37"/>
    <x v="1"/>
    <s v="Travel_Rarely"/>
    <n v="161"/>
    <x v="1"/>
    <n v="10"/>
    <n v="3"/>
    <s v="Life Sciences"/>
    <n v="1"/>
    <n v="2017"/>
    <n v="3"/>
    <x v="0"/>
    <n v="42"/>
    <n v="4"/>
    <n v="3"/>
    <s v="Research Director"/>
    <n v="4"/>
    <s v="Married"/>
    <x v="13"/>
    <n v="13744"/>
    <n v="15471"/>
    <n v="1"/>
    <s v="Yes"/>
    <s v="Yes"/>
    <n v="25"/>
    <x v="1"/>
    <n v="1"/>
    <n v="80"/>
    <n v="1"/>
    <n v="16"/>
    <n v="2"/>
    <n v="3"/>
    <n v="16"/>
    <n v="11"/>
    <x v="7"/>
    <n v="8"/>
  </r>
  <r>
    <n v="25"/>
    <x v="1"/>
    <s v="Travel_Rarely"/>
    <n v="1382"/>
    <x v="0"/>
    <n v="8"/>
    <n v="2"/>
    <s v="Other"/>
    <n v="1"/>
    <n v="2018"/>
    <n v="1"/>
    <x v="0"/>
    <n v="85"/>
    <n v="3"/>
    <n v="2"/>
    <s v="Sales Executive"/>
    <n v="3"/>
    <s v="Divorced"/>
    <x v="4"/>
    <n v="4907"/>
    <n v="13684"/>
    <n v="0"/>
    <s v="Yes"/>
    <s v="Yes"/>
    <n v="22"/>
    <x v="1"/>
    <n v="2"/>
    <n v="80"/>
    <n v="1"/>
    <n v="6"/>
    <n v="3"/>
    <n v="2"/>
    <n v="5"/>
    <n v="3"/>
    <x v="0"/>
    <n v="4"/>
  </r>
  <r>
    <n v="52"/>
    <x v="1"/>
    <s v="Non-Travel"/>
    <n v="585"/>
    <x v="0"/>
    <n v="29"/>
    <n v="4"/>
    <s v="Life Sciences"/>
    <n v="1"/>
    <n v="2019"/>
    <n v="1"/>
    <x v="1"/>
    <n v="40"/>
    <n v="3"/>
    <n v="1"/>
    <s v="Sales Representative"/>
    <n v="4"/>
    <s v="Divorced"/>
    <x v="2"/>
    <n v="3482"/>
    <n v="19788"/>
    <n v="2"/>
    <s v="Yes"/>
    <s v="No"/>
    <n v="15"/>
    <x v="0"/>
    <n v="2"/>
    <n v="80"/>
    <n v="2"/>
    <n v="16"/>
    <n v="3"/>
    <n v="2"/>
    <n v="9"/>
    <n v="8"/>
    <x v="0"/>
    <n v="0"/>
  </r>
  <r>
    <n v="44"/>
    <x v="1"/>
    <s v="Travel_Rarely"/>
    <n v="1037"/>
    <x v="1"/>
    <n v="1"/>
    <n v="3"/>
    <s v="Medical"/>
    <n v="1"/>
    <n v="2020"/>
    <n v="2"/>
    <x v="1"/>
    <n v="42"/>
    <n v="3"/>
    <n v="1"/>
    <s v="Research Scientist"/>
    <n v="4"/>
    <s v="Single"/>
    <x v="1"/>
    <n v="2436"/>
    <n v="13422"/>
    <n v="6"/>
    <s v="Yes"/>
    <s v="Yes"/>
    <n v="12"/>
    <x v="0"/>
    <n v="3"/>
    <n v="80"/>
    <n v="0"/>
    <n v="6"/>
    <n v="2"/>
    <n v="3"/>
    <n v="4"/>
    <n v="3"/>
    <x v="1"/>
    <n v="2"/>
  </r>
  <r>
    <n v="21"/>
    <x v="1"/>
    <s v="Travel_Rarely"/>
    <n v="501"/>
    <x v="0"/>
    <n v="5"/>
    <n v="1"/>
    <s v="Medical"/>
    <n v="1"/>
    <n v="2021"/>
    <n v="3"/>
    <x v="1"/>
    <n v="58"/>
    <n v="3"/>
    <n v="1"/>
    <s v="Sales Representative"/>
    <n v="1"/>
    <s v="Single"/>
    <x v="1"/>
    <n v="2380"/>
    <n v="25479"/>
    <n v="1"/>
    <s v="Yes"/>
    <s v="Yes"/>
    <n v="11"/>
    <x v="0"/>
    <n v="4"/>
    <n v="80"/>
    <n v="0"/>
    <n v="2"/>
    <n v="6"/>
    <n v="3"/>
    <n v="2"/>
    <n v="2"/>
    <x v="1"/>
    <n v="2"/>
  </r>
  <r>
    <n v="39"/>
    <x v="1"/>
    <s v="Non-Travel"/>
    <n v="105"/>
    <x v="1"/>
    <n v="9"/>
    <n v="3"/>
    <s v="Life Sciences"/>
    <n v="1"/>
    <n v="2022"/>
    <n v="4"/>
    <x v="1"/>
    <n v="87"/>
    <n v="3"/>
    <n v="5"/>
    <s v="Manager"/>
    <n v="4"/>
    <s v="Single"/>
    <x v="8"/>
    <n v="19431"/>
    <n v="15302"/>
    <n v="2"/>
    <s v="Yes"/>
    <s v="No"/>
    <n v="13"/>
    <x v="0"/>
    <n v="3"/>
    <n v="80"/>
    <n v="0"/>
    <n v="21"/>
    <n v="3"/>
    <n v="2"/>
    <n v="6"/>
    <n v="0"/>
    <x v="1"/>
    <n v="3"/>
  </r>
  <r>
    <n v="23"/>
    <x v="0"/>
    <s v="Travel_Frequently"/>
    <n v="638"/>
    <x v="0"/>
    <n v="9"/>
    <n v="3"/>
    <s v="Marketing"/>
    <n v="1"/>
    <n v="2023"/>
    <n v="4"/>
    <x v="1"/>
    <n v="33"/>
    <n v="3"/>
    <n v="1"/>
    <s v="Sales Representative"/>
    <n v="1"/>
    <s v="Married"/>
    <x v="7"/>
    <n v="1790"/>
    <n v="26956"/>
    <n v="1"/>
    <s v="Yes"/>
    <s v="No"/>
    <n v="19"/>
    <x v="0"/>
    <n v="1"/>
    <n v="80"/>
    <n v="1"/>
    <n v="1"/>
    <n v="3"/>
    <n v="2"/>
    <n v="1"/>
    <n v="0"/>
    <x v="1"/>
    <n v="0"/>
  </r>
  <r>
    <n v="36"/>
    <x v="1"/>
    <s v="Travel_Rarely"/>
    <n v="557"/>
    <x v="0"/>
    <n v="3"/>
    <n v="3"/>
    <s v="Medical"/>
    <n v="1"/>
    <n v="2024"/>
    <n v="1"/>
    <x v="0"/>
    <n v="94"/>
    <n v="2"/>
    <n v="3"/>
    <s v="Sales Executive"/>
    <n v="4"/>
    <s v="Married"/>
    <x v="14"/>
    <n v="7644"/>
    <n v="12695"/>
    <n v="0"/>
    <s v="Yes"/>
    <s v="No"/>
    <n v="19"/>
    <x v="0"/>
    <n v="3"/>
    <n v="80"/>
    <n v="2"/>
    <n v="10"/>
    <n v="2"/>
    <n v="3"/>
    <n v="9"/>
    <n v="7"/>
    <x v="2"/>
    <n v="4"/>
  </r>
  <r>
    <n v="36"/>
    <x v="1"/>
    <s v="Travel_Frequently"/>
    <n v="688"/>
    <x v="1"/>
    <n v="4"/>
    <n v="2"/>
    <s v="Life Sciences"/>
    <n v="1"/>
    <n v="2025"/>
    <n v="4"/>
    <x v="0"/>
    <n v="97"/>
    <n v="3"/>
    <n v="2"/>
    <s v="Manufacturing Director"/>
    <n v="2"/>
    <s v="Divorced"/>
    <x v="0"/>
    <n v="5131"/>
    <n v="9192"/>
    <n v="7"/>
    <s v="Yes"/>
    <s v="No"/>
    <n v="13"/>
    <x v="0"/>
    <n v="2"/>
    <n v="80"/>
    <n v="3"/>
    <n v="18"/>
    <n v="3"/>
    <n v="3"/>
    <n v="4"/>
    <n v="2"/>
    <x v="0"/>
    <n v="2"/>
  </r>
  <r>
    <n v="56"/>
    <x v="1"/>
    <s v="Non-Travel"/>
    <n v="667"/>
    <x v="1"/>
    <n v="1"/>
    <n v="4"/>
    <s v="Life Sciences"/>
    <n v="1"/>
    <n v="2026"/>
    <n v="3"/>
    <x v="1"/>
    <n v="57"/>
    <n v="3"/>
    <n v="2"/>
    <s v="Healthcare Representative"/>
    <n v="3"/>
    <s v="Divorced"/>
    <x v="9"/>
    <n v="6306"/>
    <n v="26236"/>
    <n v="1"/>
    <s v="Yes"/>
    <s v="No"/>
    <n v="21"/>
    <x v="1"/>
    <n v="1"/>
    <n v="80"/>
    <n v="1"/>
    <n v="13"/>
    <n v="2"/>
    <n v="2"/>
    <n v="13"/>
    <n v="12"/>
    <x v="1"/>
    <n v="9"/>
  </r>
  <r>
    <n v="29"/>
    <x v="0"/>
    <s v="Travel_Rarely"/>
    <n v="1092"/>
    <x v="1"/>
    <n v="1"/>
    <n v="4"/>
    <s v="Medical"/>
    <n v="1"/>
    <n v="2027"/>
    <n v="1"/>
    <x v="1"/>
    <n v="36"/>
    <n v="3"/>
    <n v="1"/>
    <s v="Research Scientist"/>
    <n v="4"/>
    <s v="Married"/>
    <x v="4"/>
    <n v="4787"/>
    <n v="26124"/>
    <n v="9"/>
    <s v="Yes"/>
    <s v="Yes"/>
    <n v="14"/>
    <x v="0"/>
    <n v="2"/>
    <n v="80"/>
    <n v="3"/>
    <n v="4"/>
    <n v="3"/>
    <n v="4"/>
    <n v="2"/>
    <n v="2"/>
    <x v="3"/>
    <n v="2"/>
  </r>
  <r>
    <n v="42"/>
    <x v="1"/>
    <s v="Travel_Rarely"/>
    <n v="300"/>
    <x v="1"/>
    <n v="2"/>
    <n v="3"/>
    <s v="Life Sciences"/>
    <n v="1"/>
    <n v="2031"/>
    <n v="1"/>
    <x v="1"/>
    <n v="56"/>
    <n v="3"/>
    <n v="5"/>
    <s v="Manager"/>
    <n v="3"/>
    <s v="Married"/>
    <x v="11"/>
    <n v="18880"/>
    <n v="17312"/>
    <n v="5"/>
    <s v="Yes"/>
    <s v="No"/>
    <n v="11"/>
    <x v="0"/>
    <n v="1"/>
    <n v="80"/>
    <n v="0"/>
    <n v="24"/>
    <n v="2"/>
    <n v="2"/>
    <n v="22"/>
    <n v="6"/>
    <x v="5"/>
    <n v="14"/>
  </r>
  <r>
    <n v="56"/>
    <x v="0"/>
    <s v="Travel_Rarely"/>
    <n v="310"/>
    <x v="1"/>
    <n v="7"/>
    <n v="2"/>
    <s v="Technical Degree"/>
    <n v="1"/>
    <n v="2032"/>
    <n v="4"/>
    <x v="1"/>
    <n v="72"/>
    <n v="3"/>
    <n v="1"/>
    <s v="Laboratory Technician"/>
    <n v="3"/>
    <s v="Married"/>
    <x v="1"/>
    <n v="2339"/>
    <n v="3666"/>
    <n v="8"/>
    <s v="Yes"/>
    <s v="No"/>
    <n v="11"/>
    <x v="0"/>
    <n v="4"/>
    <n v="80"/>
    <n v="1"/>
    <n v="14"/>
    <n v="4"/>
    <n v="1"/>
    <n v="10"/>
    <n v="9"/>
    <x v="10"/>
    <n v="8"/>
  </r>
  <r>
    <n v="41"/>
    <x v="1"/>
    <s v="Travel_Rarely"/>
    <n v="582"/>
    <x v="1"/>
    <n v="28"/>
    <n v="4"/>
    <s v="Life Sciences"/>
    <n v="1"/>
    <n v="2034"/>
    <n v="1"/>
    <x v="0"/>
    <n v="60"/>
    <n v="2"/>
    <n v="4"/>
    <s v="Manufacturing Director"/>
    <n v="2"/>
    <s v="Married"/>
    <x v="13"/>
    <n v="13570"/>
    <n v="5640"/>
    <n v="0"/>
    <s v="Yes"/>
    <s v="No"/>
    <n v="23"/>
    <x v="1"/>
    <n v="3"/>
    <n v="80"/>
    <n v="1"/>
    <n v="21"/>
    <n v="3"/>
    <n v="3"/>
    <n v="20"/>
    <n v="7"/>
    <x v="0"/>
    <n v="10"/>
  </r>
  <r>
    <n v="34"/>
    <x v="1"/>
    <s v="Travel_Rarely"/>
    <n v="704"/>
    <x v="0"/>
    <n v="28"/>
    <n v="3"/>
    <s v="Marketing"/>
    <n v="1"/>
    <n v="2035"/>
    <n v="4"/>
    <x v="0"/>
    <n v="95"/>
    <n v="2"/>
    <n v="2"/>
    <s v="Sales Executive"/>
    <n v="3"/>
    <s v="Married"/>
    <x v="9"/>
    <n v="6712"/>
    <n v="8978"/>
    <n v="1"/>
    <s v="Yes"/>
    <s v="No"/>
    <n v="21"/>
    <x v="1"/>
    <n v="4"/>
    <n v="80"/>
    <n v="2"/>
    <n v="8"/>
    <n v="2"/>
    <n v="3"/>
    <n v="8"/>
    <n v="7"/>
    <x v="1"/>
    <n v="7"/>
  </r>
  <r>
    <n v="36"/>
    <x v="1"/>
    <s v="Non-Travel"/>
    <n v="301"/>
    <x v="0"/>
    <n v="15"/>
    <n v="4"/>
    <s v="Marketing"/>
    <n v="1"/>
    <n v="2036"/>
    <n v="4"/>
    <x v="1"/>
    <n v="88"/>
    <n v="1"/>
    <n v="2"/>
    <s v="Sales Executive"/>
    <n v="4"/>
    <s v="Divorced"/>
    <x v="0"/>
    <n v="5406"/>
    <n v="10436"/>
    <n v="1"/>
    <s v="Yes"/>
    <s v="No"/>
    <n v="24"/>
    <x v="1"/>
    <n v="1"/>
    <n v="80"/>
    <n v="1"/>
    <n v="15"/>
    <n v="4"/>
    <n v="2"/>
    <n v="15"/>
    <n v="12"/>
    <x v="14"/>
    <n v="11"/>
  </r>
  <r>
    <n v="41"/>
    <x v="1"/>
    <s v="Travel_Rarely"/>
    <n v="930"/>
    <x v="0"/>
    <n v="3"/>
    <n v="3"/>
    <s v="Life Sciences"/>
    <n v="1"/>
    <n v="2037"/>
    <n v="3"/>
    <x v="1"/>
    <n v="57"/>
    <n v="2"/>
    <n v="2"/>
    <s v="Sales Executive"/>
    <n v="2"/>
    <s v="Divorced"/>
    <x v="12"/>
    <n v="8938"/>
    <n v="12227"/>
    <n v="2"/>
    <s v="Yes"/>
    <s v="No"/>
    <n v="11"/>
    <x v="0"/>
    <n v="3"/>
    <n v="80"/>
    <n v="1"/>
    <n v="14"/>
    <n v="5"/>
    <n v="3"/>
    <n v="5"/>
    <n v="4"/>
    <x v="0"/>
    <n v="4"/>
  </r>
  <r>
    <n v="32"/>
    <x v="1"/>
    <s v="Travel_Rarely"/>
    <n v="529"/>
    <x v="1"/>
    <n v="2"/>
    <n v="3"/>
    <s v="Technical Degree"/>
    <n v="1"/>
    <n v="2038"/>
    <n v="4"/>
    <x v="1"/>
    <n v="78"/>
    <n v="3"/>
    <n v="1"/>
    <s v="Research Scientist"/>
    <n v="1"/>
    <s v="Single"/>
    <x v="1"/>
    <n v="2439"/>
    <n v="11288"/>
    <n v="1"/>
    <s v="Yes"/>
    <s v="No"/>
    <n v="14"/>
    <x v="0"/>
    <n v="4"/>
    <n v="80"/>
    <n v="0"/>
    <n v="4"/>
    <n v="4"/>
    <n v="3"/>
    <n v="4"/>
    <n v="2"/>
    <x v="1"/>
    <n v="2"/>
  </r>
  <r>
    <n v="35"/>
    <x v="1"/>
    <s v="Travel_Rarely"/>
    <n v="1146"/>
    <x v="2"/>
    <n v="26"/>
    <n v="4"/>
    <s v="Life Sciences"/>
    <n v="1"/>
    <n v="2040"/>
    <n v="3"/>
    <x v="0"/>
    <n v="31"/>
    <n v="3"/>
    <n v="3"/>
    <s v="Human Resources"/>
    <n v="4"/>
    <s v="Single"/>
    <x v="12"/>
    <n v="8837"/>
    <n v="16642"/>
    <n v="1"/>
    <s v="Yes"/>
    <s v="Yes"/>
    <n v="16"/>
    <x v="0"/>
    <n v="3"/>
    <n v="80"/>
    <n v="0"/>
    <n v="9"/>
    <n v="2"/>
    <n v="3"/>
    <n v="9"/>
    <n v="0"/>
    <x v="1"/>
    <n v="7"/>
  </r>
  <r>
    <n v="38"/>
    <x v="1"/>
    <s v="Travel_Rarely"/>
    <n v="345"/>
    <x v="0"/>
    <n v="10"/>
    <n v="2"/>
    <s v="Life Sciences"/>
    <n v="1"/>
    <n v="2041"/>
    <n v="1"/>
    <x v="0"/>
    <n v="100"/>
    <n v="3"/>
    <n v="2"/>
    <s v="Sales Executive"/>
    <n v="4"/>
    <s v="Married"/>
    <x v="0"/>
    <n v="5343"/>
    <n v="5982"/>
    <n v="1"/>
    <s v="Yes"/>
    <s v="No"/>
    <n v="11"/>
    <x v="0"/>
    <n v="3"/>
    <n v="80"/>
    <n v="1"/>
    <n v="10"/>
    <n v="1"/>
    <n v="3"/>
    <n v="10"/>
    <n v="7"/>
    <x v="1"/>
    <n v="9"/>
  </r>
  <r>
    <n v="50"/>
    <x v="0"/>
    <s v="Travel_Frequently"/>
    <n v="878"/>
    <x v="0"/>
    <n v="1"/>
    <n v="4"/>
    <s v="Life Sciences"/>
    <n v="1"/>
    <n v="2044"/>
    <n v="2"/>
    <x v="1"/>
    <n v="94"/>
    <n v="3"/>
    <n v="2"/>
    <s v="Sales Executive"/>
    <n v="3"/>
    <s v="Divorced"/>
    <x v="9"/>
    <n v="6728"/>
    <n v="14255"/>
    <n v="7"/>
    <s v="Yes"/>
    <s v="No"/>
    <n v="12"/>
    <x v="0"/>
    <n v="4"/>
    <n v="80"/>
    <n v="2"/>
    <n v="12"/>
    <n v="3"/>
    <n v="3"/>
    <n v="6"/>
    <n v="3"/>
    <x v="0"/>
    <n v="1"/>
  </r>
  <r>
    <n v="36"/>
    <x v="1"/>
    <s v="Travel_Rarely"/>
    <n v="1120"/>
    <x v="0"/>
    <n v="11"/>
    <n v="4"/>
    <s v="Marketing"/>
    <n v="1"/>
    <n v="2045"/>
    <n v="2"/>
    <x v="0"/>
    <n v="100"/>
    <n v="2"/>
    <n v="2"/>
    <s v="Sales Executive"/>
    <n v="4"/>
    <s v="Married"/>
    <x v="9"/>
    <n v="6652"/>
    <n v="14369"/>
    <n v="4"/>
    <s v="Yes"/>
    <s v="No"/>
    <n v="13"/>
    <x v="0"/>
    <n v="1"/>
    <n v="80"/>
    <n v="1"/>
    <n v="8"/>
    <n v="2"/>
    <n v="2"/>
    <n v="6"/>
    <n v="3"/>
    <x v="0"/>
    <n v="0"/>
  </r>
  <r>
    <n v="45"/>
    <x v="1"/>
    <s v="Travel_Rarely"/>
    <n v="374"/>
    <x v="0"/>
    <n v="20"/>
    <n v="3"/>
    <s v="Life Sciences"/>
    <n v="1"/>
    <n v="2046"/>
    <n v="4"/>
    <x v="0"/>
    <n v="50"/>
    <n v="3"/>
    <n v="2"/>
    <s v="Sales Executive"/>
    <n v="3"/>
    <s v="Single"/>
    <x v="4"/>
    <n v="4850"/>
    <n v="23333"/>
    <n v="8"/>
    <s v="Yes"/>
    <s v="No"/>
    <n v="15"/>
    <x v="0"/>
    <n v="3"/>
    <n v="80"/>
    <n v="0"/>
    <n v="8"/>
    <n v="3"/>
    <n v="3"/>
    <n v="5"/>
    <n v="3"/>
    <x v="0"/>
    <n v="1"/>
  </r>
  <r>
    <n v="40"/>
    <x v="1"/>
    <s v="Travel_Rarely"/>
    <n v="1322"/>
    <x v="1"/>
    <n v="2"/>
    <n v="4"/>
    <s v="Life Sciences"/>
    <n v="1"/>
    <n v="2048"/>
    <n v="3"/>
    <x v="1"/>
    <n v="52"/>
    <n v="2"/>
    <n v="1"/>
    <s v="Research Scientist"/>
    <n v="3"/>
    <s v="Single"/>
    <x v="1"/>
    <n v="2809"/>
    <n v="2725"/>
    <n v="2"/>
    <s v="Yes"/>
    <s v="No"/>
    <n v="14"/>
    <x v="0"/>
    <n v="4"/>
    <n v="80"/>
    <n v="0"/>
    <n v="8"/>
    <n v="2"/>
    <n v="3"/>
    <n v="2"/>
    <n v="2"/>
    <x v="3"/>
    <n v="2"/>
  </r>
  <r>
    <n v="35"/>
    <x v="1"/>
    <s v="Travel_Frequently"/>
    <n v="1199"/>
    <x v="1"/>
    <n v="18"/>
    <n v="4"/>
    <s v="Life Sciences"/>
    <n v="1"/>
    <n v="2049"/>
    <n v="3"/>
    <x v="1"/>
    <n v="80"/>
    <n v="3"/>
    <n v="2"/>
    <s v="Healthcare Representative"/>
    <n v="3"/>
    <s v="Married"/>
    <x v="0"/>
    <n v="5689"/>
    <n v="24594"/>
    <n v="1"/>
    <s v="Yes"/>
    <s v="Yes"/>
    <n v="14"/>
    <x v="0"/>
    <n v="4"/>
    <n v="80"/>
    <n v="2"/>
    <n v="10"/>
    <n v="2"/>
    <n v="4"/>
    <n v="10"/>
    <n v="2"/>
    <x v="0"/>
    <n v="2"/>
  </r>
  <r>
    <n v="40"/>
    <x v="1"/>
    <s v="Travel_Rarely"/>
    <n v="1194"/>
    <x v="1"/>
    <n v="2"/>
    <n v="4"/>
    <s v="Medical"/>
    <n v="1"/>
    <n v="2051"/>
    <n v="3"/>
    <x v="0"/>
    <n v="98"/>
    <n v="3"/>
    <n v="1"/>
    <s v="Research Scientist"/>
    <n v="3"/>
    <s v="Married"/>
    <x v="1"/>
    <n v="2001"/>
    <n v="12549"/>
    <n v="2"/>
    <s v="Yes"/>
    <s v="No"/>
    <n v="14"/>
    <x v="0"/>
    <n v="2"/>
    <n v="80"/>
    <n v="3"/>
    <n v="20"/>
    <n v="2"/>
    <n v="3"/>
    <n v="5"/>
    <n v="3"/>
    <x v="0"/>
    <n v="2"/>
  </r>
  <r>
    <n v="35"/>
    <x v="1"/>
    <s v="Travel_Rarely"/>
    <n v="287"/>
    <x v="1"/>
    <n v="1"/>
    <n v="4"/>
    <s v="Life Sciences"/>
    <n v="1"/>
    <n v="2052"/>
    <n v="3"/>
    <x v="0"/>
    <n v="62"/>
    <n v="1"/>
    <n v="1"/>
    <s v="Research Scientist"/>
    <n v="4"/>
    <s v="Married"/>
    <x v="1"/>
    <n v="2977"/>
    <n v="8952"/>
    <n v="1"/>
    <s v="Yes"/>
    <s v="No"/>
    <n v="12"/>
    <x v="0"/>
    <n v="4"/>
    <n v="80"/>
    <n v="1"/>
    <n v="4"/>
    <n v="5"/>
    <n v="3"/>
    <n v="4"/>
    <n v="3"/>
    <x v="1"/>
    <n v="1"/>
  </r>
  <r>
    <n v="29"/>
    <x v="1"/>
    <s v="Travel_Rarely"/>
    <n v="1378"/>
    <x v="1"/>
    <n v="13"/>
    <n v="2"/>
    <s v="Other"/>
    <n v="1"/>
    <n v="2053"/>
    <n v="4"/>
    <x v="1"/>
    <n v="46"/>
    <n v="2"/>
    <n v="2"/>
    <s v="Laboratory Technician"/>
    <n v="2"/>
    <s v="Married"/>
    <x v="4"/>
    <n v="4025"/>
    <n v="23679"/>
    <n v="4"/>
    <s v="Yes"/>
    <s v="Yes"/>
    <n v="13"/>
    <x v="0"/>
    <n v="1"/>
    <n v="80"/>
    <n v="1"/>
    <n v="10"/>
    <n v="2"/>
    <n v="3"/>
    <n v="4"/>
    <n v="3"/>
    <x v="0"/>
    <n v="3"/>
  </r>
  <r>
    <n v="29"/>
    <x v="1"/>
    <s v="Travel_Rarely"/>
    <n v="468"/>
    <x v="1"/>
    <n v="28"/>
    <n v="4"/>
    <s v="Medical"/>
    <n v="1"/>
    <n v="2054"/>
    <n v="4"/>
    <x v="0"/>
    <n v="73"/>
    <n v="2"/>
    <n v="1"/>
    <s v="Research Scientist"/>
    <n v="1"/>
    <s v="Single"/>
    <x v="2"/>
    <n v="3785"/>
    <n v="8489"/>
    <n v="1"/>
    <s v="Yes"/>
    <s v="No"/>
    <n v="14"/>
    <x v="0"/>
    <n v="2"/>
    <n v="80"/>
    <n v="0"/>
    <n v="5"/>
    <n v="3"/>
    <n v="1"/>
    <n v="5"/>
    <n v="4"/>
    <x v="0"/>
    <n v="4"/>
  </r>
  <r>
    <n v="50"/>
    <x v="0"/>
    <s v="Travel_Rarely"/>
    <n v="410"/>
    <x v="0"/>
    <n v="28"/>
    <n v="3"/>
    <s v="Marketing"/>
    <n v="1"/>
    <n v="2055"/>
    <n v="4"/>
    <x v="1"/>
    <n v="39"/>
    <n v="2"/>
    <n v="3"/>
    <s v="Sales Executive"/>
    <n v="1"/>
    <s v="Divorced"/>
    <x v="10"/>
    <n v="10854"/>
    <n v="16586"/>
    <n v="4"/>
    <s v="Yes"/>
    <s v="Yes"/>
    <n v="13"/>
    <x v="0"/>
    <n v="2"/>
    <n v="80"/>
    <n v="1"/>
    <n v="20"/>
    <n v="3"/>
    <n v="3"/>
    <n v="3"/>
    <n v="2"/>
    <x v="3"/>
    <n v="0"/>
  </r>
  <r>
    <n v="39"/>
    <x v="1"/>
    <s v="Travel_Rarely"/>
    <n v="722"/>
    <x v="0"/>
    <n v="24"/>
    <n v="1"/>
    <s v="Marketing"/>
    <n v="1"/>
    <n v="2056"/>
    <n v="2"/>
    <x v="0"/>
    <n v="60"/>
    <n v="2"/>
    <n v="4"/>
    <s v="Sales Executive"/>
    <n v="4"/>
    <s v="Married"/>
    <x v="18"/>
    <n v="12031"/>
    <n v="8828"/>
    <n v="0"/>
    <s v="Yes"/>
    <s v="No"/>
    <n v="11"/>
    <x v="0"/>
    <n v="1"/>
    <n v="80"/>
    <n v="1"/>
    <n v="21"/>
    <n v="2"/>
    <n v="2"/>
    <n v="20"/>
    <n v="9"/>
    <x v="10"/>
    <n v="6"/>
  </r>
  <r>
    <n v="31"/>
    <x v="1"/>
    <s v="Non-Travel"/>
    <n v="325"/>
    <x v="1"/>
    <n v="5"/>
    <n v="3"/>
    <s v="Medical"/>
    <n v="1"/>
    <n v="2057"/>
    <n v="2"/>
    <x v="1"/>
    <n v="74"/>
    <n v="3"/>
    <n v="2"/>
    <s v="Manufacturing Director"/>
    <n v="1"/>
    <s v="Single"/>
    <x v="3"/>
    <n v="9936"/>
    <n v="3787"/>
    <n v="0"/>
    <s v="Yes"/>
    <s v="No"/>
    <n v="19"/>
    <x v="0"/>
    <n v="2"/>
    <n v="80"/>
    <n v="0"/>
    <n v="10"/>
    <n v="2"/>
    <n v="3"/>
    <n v="9"/>
    <n v="4"/>
    <x v="1"/>
    <n v="7"/>
  </r>
  <r>
    <n v="26"/>
    <x v="1"/>
    <s v="Travel_Rarely"/>
    <n v="1167"/>
    <x v="0"/>
    <n v="5"/>
    <n v="3"/>
    <s v="Other"/>
    <n v="1"/>
    <n v="2060"/>
    <n v="4"/>
    <x v="0"/>
    <n v="30"/>
    <n v="2"/>
    <n v="1"/>
    <s v="Sales Representative"/>
    <n v="3"/>
    <s v="Single"/>
    <x v="1"/>
    <n v="2966"/>
    <n v="21378"/>
    <n v="0"/>
    <s v="Yes"/>
    <s v="No"/>
    <n v="18"/>
    <x v="0"/>
    <n v="4"/>
    <n v="80"/>
    <n v="0"/>
    <n v="5"/>
    <n v="2"/>
    <n v="3"/>
    <n v="4"/>
    <n v="2"/>
    <x v="0"/>
    <n v="0"/>
  </r>
  <r>
    <n v="36"/>
    <x v="1"/>
    <s v="Travel_Frequently"/>
    <n v="884"/>
    <x v="1"/>
    <n v="23"/>
    <n v="2"/>
    <s v="Medical"/>
    <n v="1"/>
    <n v="2061"/>
    <n v="3"/>
    <x v="1"/>
    <n v="41"/>
    <n v="4"/>
    <n v="2"/>
    <s v="Laboratory Technician"/>
    <n v="4"/>
    <s v="Married"/>
    <x v="1"/>
    <n v="2571"/>
    <n v="12290"/>
    <n v="4"/>
    <s v="Yes"/>
    <s v="No"/>
    <n v="17"/>
    <x v="0"/>
    <n v="3"/>
    <n v="80"/>
    <n v="1"/>
    <n v="17"/>
    <n v="3"/>
    <n v="3"/>
    <n v="5"/>
    <n v="2"/>
    <x v="0"/>
    <n v="3"/>
  </r>
  <r>
    <n v="39"/>
    <x v="1"/>
    <s v="Travel_Rarely"/>
    <n v="613"/>
    <x v="1"/>
    <n v="6"/>
    <n v="1"/>
    <s v="Medical"/>
    <n v="1"/>
    <n v="2062"/>
    <n v="4"/>
    <x v="1"/>
    <n v="42"/>
    <n v="2"/>
    <n v="3"/>
    <s v="Healthcare Representative"/>
    <n v="1"/>
    <s v="Married"/>
    <x v="3"/>
    <n v="9991"/>
    <n v="21457"/>
    <n v="4"/>
    <s v="Yes"/>
    <s v="No"/>
    <n v="15"/>
    <x v="0"/>
    <n v="1"/>
    <n v="80"/>
    <n v="1"/>
    <n v="9"/>
    <n v="5"/>
    <n v="3"/>
    <n v="7"/>
    <n v="7"/>
    <x v="1"/>
    <n v="7"/>
  </r>
  <r>
    <n v="27"/>
    <x v="1"/>
    <s v="Travel_Rarely"/>
    <n v="155"/>
    <x v="1"/>
    <n v="4"/>
    <n v="3"/>
    <s v="Life Sciences"/>
    <n v="1"/>
    <n v="2064"/>
    <n v="2"/>
    <x v="1"/>
    <n v="87"/>
    <n v="4"/>
    <n v="2"/>
    <s v="Manufacturing Director"/>
    <n v="2"/>
    <s v="Married"/>
    <x v="9"/>
    <n v="6142"/>
    <n v="5174"/>
    <n v="1"/>
    <s v="Yes"/>
    <s v="Yes"/>
    <n v="20"/>
    <x v="1"/>
    <n v="2"/>
    <n v="80"/>
    <n v="1"/>
    <n v="6"/>
    <n v="0"/>
    <n v="3"/>
    <n v="6"/>
    <n v="2"/>
    <x v="0"/>
    <n v="3"/>
  </r>
  <r>
    <n v="49"/>
    <x v="1"/>
    <s v="Travel_Frequently"/>
    <n v="1023"/>
    <x v="0"/>
    <n v="2"/>
    <n v="3"/>
    <s v="Medical"/>
    <n v="1"/>
    <n v="2065"/>
    <n v="4"/>
    <x v="1"/>
    <n v="63"/>
    <n v="2"/>
    <n v="2"/>
    <s v="Sales Executive"/>
    <n v="2"/>
    <s v="Married"/>
    <x v="0"/>
    <n v="5390"/>
    <n v="13243"/>
    <n v="2"/>
    <s v="Yes"/>
    <s v="No"/>
    <n v="14"/>
    <x v="0"/>
    <n v="4"/>
    <n v="80"/>
    <n v="0"/>
    <n v="17"/>
    <n v="3"/>
    <n v="2"/>
    <n v="9"/>
    <n v="6"/>
    <x v="0"/>
    <n v="8"/>
  </r>
  <r>
    <n v="34"/>
    <x v="1"/>
    <s v="Travel_Rarely"/>
    <n v="628"/>
    <x v="1"/>
    <n v="8"/>
    <n v="3"/>
    <s v="Medical"/>
    <n v="1"/>
    <n v="2068"/>
    <n v="2"/>
    <x v="1"/>
    <n v="82"/>
    <n v="4"/>
    <n v="2"/>
    <s v="Laboratory Technician"/>
    <n v="3"/>
    <s v="Married"/>
    <x v="4"/>
    <n v="4404"/>
    <n v="10228"/>
    <n v="2"/>
    <s v="Yes"/>
    <s v="No"/>
    <n v="12"/>
    <x v="0"/>
    <n v="1"/>
    <n v="80"/>
    <n v="0"/>
    <n v="6"/>
    <n v="3"/>
    <n v="4"/>
    <n v="4"/>
    <n v="3"/>
    <x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57DCD-5551-4CDE-A21E-693CA51F3FAD}" name="PivotTable1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8">
  <location ref="A2:D7" firstHeaderRow="1" firstDataRow="2" firstDataCol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E0DFC-D9AC-43FB-88E9-A6C24232CF1D}" name="PivotTable7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11">
  <location ref="T4:W9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formats count="1">
    <format dxfId="9">
      <pivotArea grandRow="1" outline="0" collapsedLevelsAreSubtotals="1" fieldPosition="0"/>
    </format>
  </formats>
  <chartFormats count="10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7494D-477E-489C-83CB-36AD99CD736C}" name="PivotTable5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9">
  <location ref="O3:R8" firstHeaderRow="1" firstDataRow="2" firstDataCol="1" rowPageCount="1" colPageCount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1">
    <pageField fld="34" hier="-1"/>
  </pageFields>
  <dataFields count="1">
    <dataField name="Sum of EmployeeCount" fld="8" baseField="0" baseItem="0"/>
  </dataFields>
  <formats count="1">
    <format dxfId="10">
      <pivotArea grandRow="1" outline="0" collapsedLevelsAreSubtotals="1" fieldPosition="0"/>
    </format>
  </format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C0518-C6F3-4590-BBCE-39BD8AFE025F}" name="PivotTable4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8">
  <location ref="L2:M5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9" subtotal="average" baseField="25" baseItem="0"/>
  </dataFields>
  <formats count="3">
    <format dxfId="13">
      <pivotArea grandRow="1" outline="0" collapsedLevelsAreSubtotals="1" fieldPosition="0"/>
    </format>
    <format dxfId="12">
      <pivotArea collapsedLevelsAreSubtotals="1" fieldPosition="0">
        <references count="1">
          <reference field="25" count="1">
            <x v="0"/>
          </reference>
        </references>
      </pivotArea>
    </format>
    <format dxfId="11">
      <pivotArea collapsedLevelsAreSubtotals="1" fieldPosition="0">
        <references count="1">
          <reference field="25" count="1">
            <x v="1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2CB98-B984-432E-8AAA-952373108A46}" name="PivotTable3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9">
  <location ref="I2:J22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7"/>
        <item x="1"/>
        <item x="2"/>
        <item x="4"/>
        <item x="0"/>
        <item x="9"/>
        <item x="14"/>
        <item x="12"/>
        <item x="3"/>
        <item x="10"/>
        <item x="6"/>
        <item x="18"/>
        <item x="13"/>
        <item x="15"/>
        <item x="5"/>
        <item x="17"/>
        <item x="16"/>
        <item x="1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EmployeeNumber" fld="9" subtotal="count" baseField="18" baseItem="0"/>
  </dataFields>
  <formats count="1">
    <format dxfId="14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4D01F-5E6C-4038-83B3-A7237AD894EA}" name="PivotTable2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9">
  <location ref="F2:G5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9" subtotal="average" baseField="11" baseItem="0"/>
  </dataFields>
  <formats count="3">
    <format dxfId="17">
      <pivotArea collapsedLevelsAreSubtotals="1" fieldPosition="0">
        <references count="1">
          <reference field="11" count="1">
            <x v="0"/>
          </reference>
        </references>
      </pivotArea>
    </format>
    <format dxfId="16">
      <pivotArea collapsedLevelsAreSubtotals="1" fieldPosition="0">
        <references count="1">
          <reference field="11" count="1">
            <x v="1"/>
          </reference>
        </references>
      </pivotArea>
    </format>
    <format dxfId="15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16" applyNumberFormats="0" applyBorderFormats="0" applyFontFormats="0" applyPatternFormats="0" applyAlignmentFormats="0" applyWidthHeightFormats="0">
  <queryTableRefresh nextId="40">
    <queryTableFields count="36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37" dataBound="0" tableColumnId="37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2" displayName="Table1_2" ref="A1:AJ1471" tableType="queryTable" totalsRowShown="0">
  <autoFilter ref="A1:AJ1471" xr:uid="{00000000-0009-0000-0100-000002000000}"/>
  <tableColumns count="36">
    <tableColumn id="1" xr3:uid="{00000000-0010-0000-0000-000001000000}" uniqueName="1" name="Age" queryTableFieldId="1"/>
    <tableColumn id="2" xr3:uid="{00000000-0010-0000-0000-000002000000}" uniqueName="2" name="Attrition" queryTableFieldId="2"/>
    <tableColumn id="3" xr3:uid="{00000000-0010-0000-0000-000003000000}" uniqueName="3" name="BusinessTravel" queryTableFieldId="3"/>
    <tableColumn id="4" xr3:uid="{00000000-0010-0000-0000-000004000000}" uniqueName="4" name="DailyRate" queryTableFieldId="4"/>
    <tableColumn id="5" xr3:uid="{00000000-0010-0000-0000-000005000000}" uniqueName="5" name="Department" queryTableFieldId="5"/>
    <tableColumn id="6" xr3:uid="{00000000-0010-0000-0000-000006000000}" uniqueName="6" name="DistanceFromHome" queryTableFieldId="6"/>
    <tableColumn id="7" xr3:uid="{00000000-0010-0000-0000-000007000000}" uniqueName="7" name="Education" queryTableFieldId="7"/>
    <tableColumn id="8" xr3:uid="{00000000-0010-0000-0000-000008000000}" uniqueName="8" name="EducationField" queryTableFieldId="8"/>
    <tableColumn id="9" xr3:uid="{00000000-0010-0000-0000-000009000000}" uniqueName="9" name="EmployeeCount" queryTableFieldId="9"/>
    <tableColumn id="10" xr3:uid="{00000000-0010-0000-0000-00000A000000}" uniqueName="10" name="EmployeeNumber" queryTableFieldId="10"/>
    <tableColumn id="11" xr3:uid="{00000000-0010-0000-0000-00000B000000}" uniqueName="11" name="EnvironmentSatisfaction" queryTableFieldId="11"/>
    <tableColumn id="12" xr3:uid="{00000000-0010-0000-0000-00000C000000}" uniqueName="12" name="Gender" queryTableFieldId="12"/>
    <tableColumn id="13" xr3:uid="{00000000-0010-0000-0000-00000D000000}" uniqueName="13" name="HourlyRate" queryTableFieldId="13"/>
    <tableColumn id="14" xr3:uid="{00000000-0010-0000-0000-00000E000000}" uniqueName="14" name="JobInvolvement" queryTableFieldId="14"/>
    <tableColumn id="15" xr3:uid="{00000000-0010-0000-0000-00000F000000}" uniqueName="15" name="JobLevel" queryTableFieldId="15"/>
    <tableColumn id="16" xr3:uid="{00000000-0010-0000-0000-000010000000}" uniqueName="16" name="JobRole" queryTableFieldId="16"/>
    <tableColumn id="17" xr3:uid="{00000000-0010-0000-0000-000011000000}" uniqueName="17" name="JobSatisfaction" queryTableFieldId="17"/>
    <tableColumn id="18" xr3:uid="{00000000-0010-0000-0000-000012000000}" uniqueName="18" name="MaritalStatus" queryTableFieldId="18"/>
    <tableColumn id="37" xr3:uid="{59BB17B6-E411-4EB3-87B5-AA47390D9A4F}" uniqueName="37" name="FLOOR Monthly Income" queryTableFieldId="37" dataDxfId="18">
      <calculatedColumnFormula>FLOOR(Table1_2[[#This Row],[MonthlyIncome]],1000)</calculatedColumnFormula>
    </tableColumn>
    <tableColumn id="19" xr3:uid="{00000000-0010-0000-0000-000013000000}" uniqueName="19" name="MonthlyIncome" queryTableFieldId="19"/>
    <tableColumn id="20" xr3:uid="{00000000-0010-0000-0000-000014000000}" uniqueName="20" name="MonthlyRate" queryTableFieldId="20"/>
    <tableColumn id="21" xr3:uid="{00000000-0010-0000-0000-000015000000}" uniqueName="21" name="NumCompaniesWorked" queryTableFieldId="21"/>
    <tableColumn id="22" xr3:uid="{00000000-0010-0000-0000-000016000000}" uniqueName="22" name="Over18" queryTableFieldId="22"/>
    <tableColumn id="23" xr3:uid="{00000000-0010-0000-0000-000017000000}" uniqueName="23" name="OverTime" queryTableFieldId="23"/>
    <tableColumn id="24" xr3:uid="{00000000-0010-0000-0000-000018000000}" uniqueName="24" name="PercentSalaryHike" queryTableFieldId="24"/>
    <tableColumn id="25" xr3:uid="{00000000-0010-0000-0000-000019000000}" uniqueName="25" name="PerformanceRating" queryTableFieldId="25"/>
    <tableColumn id="26" xr3:uid="{00000000-0010-0000-0000-00001A000000}" uniqueName="26" name="RelationshipSatisfaction" queryTableFieldId="26"/>
    <tableColumn id="27" xr3:uid="{00000000-0010-0000-0000-00001B000000}" uniqueName="27" name="StandardHours" queryTableFieldId="27"/>
    <tableColumn id="28" xr3:uid="{00000000-0010-0000-0000-00001C000000}" uniqueName="28" name="StockOptionLevel" queryTableFieldId="28"/>
    <tableColumn id="29" xr3:uid="{00000000-0010-0000-0000-00001D000000}" uniqueName="29" name="TotalWorkingYears" queryTableFieldId="29"/>
    <tableColumn id="30" xr3:uid="{00000000-0010-0000-0000-00001E000000}" uniqueName="30" name="TrainingTimesLastYear" queryTableFieldId="30"/>
    <tableColumn id="31" xr3:uid="{00000000-0010-0000-0000-00001F000000}" uniqueName="31" name="WorkLifeBalance" queryTableFieldId="31"/>
    <tableColumn id="32" xr3:uid="{00000000-0010-0000-0000-000020000000}" uniqueName="32" name="YearsAtCompany" queryTableFieldId="32"/>
    <tableColumn id="33" xr3:uid="{00000000-0010-0000-0000-000021000000}" uniqueName="33" name="YearsInCurrentRole" queryTableFieldId="33"/>
    <tableColumn id="34" xr3:uid="{00000000-0010-0000-0000-000022000000}" uniqueName="34" name="YearsSinceLastPromotion" queryTableFieldId="34"/>
    <tableColumn id="35" xr3:uid="{00000000-0010-0000-0000-000023000000}" uniqueName="35" name="YearsWithCurrManager" queryTableFieldId="3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workbookViewId="0">
      <selection sqref="A1:XFD104857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71"/>
  <sheetViews>
    <sheetView topLeftCell="L1" workbookViewId="0">
      <selection activeCell="AI1" sqref="AI1:AI1048576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17.42578125" bestFit="1" customWidth="1"/>
    <col min="4" max="4" width="11.7109375" bestFit="1" customWidth="1"/>
    <col min="5" max="5" width="23.85546875" bestFit="1" customWidth="1"/>
    <col min="6" max="6" width="21" bestFit="1" customWidth="1"/>
    <col min="7" max="7" width="12" bestFit="1" customWidth="1"/>
    <col min="8" max="8" width="16.85546875" bestFit="1" customWidth="1"/>
    <col min="9" max="9" width="17.5703125" bestFit="1" customWidth="1"/>
    <col min="10" max="10" width="19.7109375" bestFit="1" customWidth="1"/>
    <col min="11" max="11" width="25.42578125" bestFit="1" customWidth="1"/>
    <col min="12" max="12" width="10" bestFit="1" customWidth="1"/>
    <col min="13" max="13" width="13.140625" bestFit="1" customWidth="1"/>
    <col min="14" max="14" width="17.7109375" bestFit="1" customWidth="1"/>
    <col min="15" max="15" width="11" bestFit="1" customWidth="1"/>
    <col min="16" max="16" width="25" bestFit="1" customWidth="1"/>
    <col min="17" max="17" width="16.7109375" bestFit="1" customWidth="1"/>
    <col min="18" max="18" width="15.140625" bestFit="1" customWidth="1"/>
    <col min="19" max="20" width="15.140625" customWidth="1"/>
    <col min="21" max="21" width="17.5703125" bestFit="1" customWidth="1"/>
    <col min="22" max="22" width="14.85546875" bestFit="1" customWidth="1"/>
    <col min="23" max="23" width="25" bestFit="1" customWidth="1"/>
    <col min="24" max="24" width="9.5703125" bestFit="1" customWidth="1"/>
    <col min="25" max="25" width="12" bestFit="1" customWidth="1"/>
    <col min="26" max="26" width="19.7109375" bestFit="1" customWidth="1"/>
    <col min="27" max="27" width="20.5703125" bestFit="1" customWidth="1"/>
    <col min="28" max="28" width="25.140625" bestFit="1" customWidth="1"/>
    <col min="29" max="29" width="16.42578125" bestFit="1" customWidth="1"/>
    <col min="30" max="30" width="19" bestFit="1" customWidth="1"/>
    <col min="31" max="31" width="20.42578125" bestFit="1" customWidth="1"/>
    <col min="32" max="32" width="23.42578125" bestFit="1" customWidth="1"/>
    <col min="33" max="33" width="18.42578125" bestFit="1" customWidth="1"/>
    <col min="34" max="34" width="18.5703125" bestFit="1" customWidth="1"/>
    <col min="35" max="35" width="20.85546875" bestFit="1" customWidth="1"/>
    <col min="36" max="36" width="26.140625" bestFit="1" customWidth="1"/>
    <col min="37" max="37" width="24.57031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69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f>FLOOR(Table1_2[[#This Row],[MonthlyIncome]],1000)</f>
        <v>5000</v>
      </c>
      <c r="T2">
        <v>5993</v>
      </c>
      <c r="U2">
        <v>19479</v>
      </c>
      <c r="V2">
        <v>8</v>
      </c>
      <c r="W2" t="s">
        <v>35</v>
      </c>
      <c r="X2" t="s">
        <v>35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</row>
    <row r="3" spans="1:36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f>FLOOR(Table1_2[[#This Row],[MonthlyIncome]],1000)</f>
        <v>5000</v>
      </c>
      <c r="T3">
        <v>5130</v>
      </c>
      <c r="U3">
        <v>24907</v>
      </c>
      <c r="V3">
        <v>1</v>
      </c>
      <c r="W3" t="s">
        <v>35</v>
      </c>
      <c r="X3" t="s">
        <v>43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</row>
    <row r="4" spans="1:36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f>FLOOR(Table1_2[[#This Row],[MonthlyIncome]],1000)</f>
        <v>2000</v>
      </c>
      <c r="T4">
        <v>2090</v>
      </c>
      <c r="U4">
        <v>2396</v>
      </c>
      <c r="V4">
        <v>6</v>
      </c>
      <c r="W4" t="s">
        <v>35</v>
      </c>
      <c r="X4" t="s">
        <v>35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</row>
    <row r="5" spans="1:36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f>FLOOR(Table1_2[[#This Row],[MonthlyIncome]],1000)</f>
        <v>2000</v>
      </c>
      <c r="T5">
        <v>2909</v>
      </c>
      <c r="U5">
        <v>23159</v>
      </c>
      <c r="V5">
        <v>1</v>
      </c>
      <c r="W5" t="s">
        <v>35</v>
      </c>
      <c r="X5" t="s">
        <v>35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</row>
    <row r="6" spans="1:36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f>FLOOR(Table1_2[[#This Row],[MonthlyIncome]],1000)</f>
        <v>3000</v>
      </c>
      <c r="T6">
        <v>3468</v>
      </c>
      <c r="U6">
        <v>16632</v>
      </c>
      <c r="V6">
        <v>9</v>
      </c>
      <c r="W6" t="s">
        <v>35</v>
      </c>
      <c r="X6" t="s">
        <v>43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</row>
    <row r="7" spans="1:36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f>FLOOR(Table1_2[[#This Row],[MonthlyIncome]],1000)</f>
        <v>3000</v>
      </c>
      <c r="T7">
        <v>3068</v>
      </c>
      <c r="U7">
        <v>11864</v>
      </c>
      <c r="V7">
        <v>0</v>
      </c>
      <c r="W7" t="s">
        <v>35</v>
      </c>
      <c r="X7" t="s">
        <v>43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</row>
    <row r="8" spans="1:36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f>FLOOR(Table1_2[[#This Row],[MonthlyIncome]],1000)</f>
        <v>2000</v>
      </c>
      <c r="T8">
        <v>2670</v>
      </c>
      <c r="U8">
        <v>9964</v>
      </c>
      <c r="V8">
        <v>4</v>
      </c>
      <c r="W8" t="s">
        <v>35</v>
      </c>
      <c r="X8" t="s">
        <v>35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</row>
    <row r="9" spans="1:36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f>FLOOR(Table1_2[[#This Row],[MonthlyIncome]],1000)</f>
        <v>2000</v>
      </c>
      <c r="T9">
        <v>2693</v>
      </c>
      <c r="U9">
        <v>13335</v>
      </c>
      <c r="V9">
        <v>1</v>
      </c>
      <c r="W9" t="s">
        <v>35</v>
      </c>
      <c r="X9" t="s">
        <v>43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</row>
    <row r="10" spans="1:36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f>FLOOR(Table1_2[[#This Row],[MonthlyIncome]],1000)</f>
        <v>9000</v>
      </c>
      <c r="T10">
        <v>9526</v>
      </c>
      <c r="U10">
        <v>8787</v>
      </c>
      <c r="V10">
        <v>0</v>
      </c>
      <c r="W10" t="s">
        <v>35</v>
      </c>
      <c r="X10" t="s">
        <v>43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</row>
    <row r="11" spans="1:36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f>FLOOR(Table1_2[[#This Row],[MonthlyIncome]],1000)</f>
        <v>5000</v>
      </c>
      <c r="T11">
        <v>5237</v>
      </c>
      <c r="U11">
        <v>16577</v>
      </c>
      <c r="V11">
        <v>6</v>
      </c>
      <c r="W11" t="s">
        <v>35</v>
      </c>
      <c r="X11" t="s">
        <v>43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</row>
    <row r="12" spans="1:36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f>FLOOR(Table1_2[[#This Row],[MonthlyIncome]],1000)</f>
        <v>2000</v>
      </c>
      <c r="T12">
        <v>2426</v>
      </c>
      <c r="U12">
        <v>16479</v>
      </c>
      <c r="V12">
        <v>0</v>
      </c>
      <c r="W12" t="s">
        <v>35</v>
      </c>
      <c r="X12" t="s">
        <v>43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</row>
    <row r="13" spans="1:36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f>FLOOR(Table1_2[[#This Row],[MonthlyIncome]],1000)</f>
        <v>4000</v>
      </c>
      <c r="T13">
        <v>4193</v>
      </c>
      <c r="U13">
        <v>12682</v>
      </c>
      <c r="V13">
        <v>0</v>
      </c>
      <c r="W13" t="s">
        <v>35</v>
      </c>
      <c r="X13" t="s">
        <v>35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</row>
    <row r="14" spans="1:36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f>FLOOR(Table1_2[[#This Row],[MonthlyIncome]],1000)</f>
        <v>2000</v>
      </c>
      <c r="T14">
        <v>2911</v>
      </c>
      <c r="U14">
        <v>15170</v>
      </c>
      <c r="V14">
        <v>1</v>
      </c>
      <c r="W14" t="s">
        <v>35</v>
      </c>
      <c r="X14" t="s">
        <v>43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</row>
    <row r="15" spans="1:36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f>FLOOR(Table1_2[[#This Row],[MonthlyIncome]],1000)</f>
        <v>2000</v>
      </c>
      <c r="T15">
        <v>2661</v>
      </c>
      <c r="U15">
        <v>8758</v>
      </c>
      <c r="V15">
        <v>0</v>
      </c>
      <c r="W15" t="s">
        <v>35</v>
      </c>
      <c r="X15" t="s">
        <v>43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</row>
    <row r="16" spans="1:36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f>FLOOR(Table1_2[[#This Row],[MonthlyIncome]],1000)</f>
        <v>2000</v>
      </c>
      <c r="T16">
        <v>2028</v>
      </c>
      <c r="U16">
        <v>12947</v>
      </c>
      <c r="V16">
        <v>5</v>
      </c>
      <c r="W16" t="s">
        <v>35</v>
      </c>
      <c r="X16" t="s">
        <v>35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</row>
    <row r="17" spans="1:36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f>FLOOR(Table1_2[[#This Row],[MonthlyIncome]],1000)</f>
        <v>9000</v>
      </c>
      <c r="T17">
        <v>9980</v>
      </c>
      <c r="U17">
        <v>10195</v>
      </c>
      <c r="V17">
        <v>1</v>
      </c>
      <c r="W17" t="s">
        <v>35</v>
      </c>
      <c r="X17" t="s">
        <v>43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</row>
    <row r="18" spans="1:36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f>FLOOR(Table1_2[[#This Row],[MonthlyIncome]],1000)</f>
        <v>3000</v>
      </c>
      <c r="T18">
        <v>3298</v>
      </c>
      <c r="U18">
        <v>15053</v>
      </c>
      <c r="V18">
        <v>0</v>
      </c>
      <c r="W18" t="s">
        <v>35</v>
      </c>
      <c r="X18" t="s">
        <v>35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</row>
    <row r="19" spans="1:36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f>FLOOR(Table1_2[[#This Row],[MonthlyIncome]],1000)</f>
        <v>2000</v>
      </c>
      <c r="T19">
        <v>2935</v>
      </c>
      <c r="U19">
        <v>7324</v>
      </c>
      <c r="V19">
        <v>1</v>
      </c>
      <c r="W19" t="s">
        <v>35</v>
      </c>
      <c r="X19" t="s">
        <v>35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</row>
    <row r="20" spans="1:36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f>FLOOR(Table1_2[[#This Row],[MonthlyIncome]],1000)</f>
        <v>15000</v>
      </c>
      <c r="T20">
        <v>15427</v>
      </c>
      <c r="U20">
        <v>22021</v>
      </c>
      <c r="V20">
        <v>2</v>
      </c>
      <c r="W20" t="s">
        <v>35</v>
      </c>
      <c r="X20" t="s">
        <v>43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</row>
    <row r="21" spans="1:36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f>FLOOR(Table1_2[[#This Row],[MonthlyIncome]],1000)</f>
        <v>3000</v>
      </c>
      <c r="T21">
        <v>3944</v>
      </c>
      <c r="U21">
        <v>4306</v>
      </c>
      <c r="V21">
        <v>5</v>
      </c>
      <c r="W21" t="s">
        <v>35</v>
      </c>
      <c r="X21" t="s">
        <v>35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</row>
    <row r="22" spans="1:36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f>FLOOR(Table1_2[[#This Row],[MonthlyIncome]],1000)</f>
        <v>4000</v>
      </c>
      <c r="T22">
        <v>4011</v>
      </c>
      <c r="U22">
        <v>8232</v>
      </c>
      <c r="V22">
        <v>0</v>
      </c>
      <c r="W22" t="s">
        <v>35</v>
      </c>
      <c r="X22" t="s">
        <v>43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</row>
    <row r="23" spans="1:36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f>FLOOR(Table1_2[[#This Row],[MonthlyIncome]],1000)</f>
        <v>3000</v>
      </c>
      <c r="T23">
        <v>3407</v>
      </c>
      <c r="U23">
        <v>6986</v>
      </c>
      <c r="V23">
        <v>7</v>
      </c>
      <c r="W23" t="s">
        <v>35</v>
      </c>
      <c r="X23" t="s">
        <v>43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</row>
    <row r="24" spans="1:36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f>FLOOR(Table1_2[[#This Row],[MonthlyIncome]],1000)</f>
        <v>11000</v>
      </c>
      <c r="T24">
        <v>11994</v>
      </c>
      <c r="U24">
        <v>21293</v>
      </c>
      <c r="V24">
        <v>0</v>
      </c>
      <c r="W24" t="s">
        <v>35</v>
      </c>
      <c r="X24" t="s">
        <v>43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</row>
    <row r="25" spans="1:36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f>FLOOR(Table1_2[[#This Row],[MonthlyIncome]],1000)</f>
        <v>1000</v>
      </c>
      <c r="T25">
        <v>1232</v>
      </c>
      <c r="U25">
        <v>19281</v>
      </c>
      <c r="V25">
        <v>1</v>
      </c>
      <c r="W25" t="s">
        <v>35</v>
      </c>
      <c r="X25" t="s">
        <v>43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f>FLOOR(Table1_2[[#This Row],[MonthlyIncome]],1000)</f>
        <v>2000</v>
      </c>
      <c r="T26">
        <v>2960</v>
      </c>
      <c r="U26">
        <v>17102</v>
      </c>
      <c r="V26">
        <v>2</v>
      </c>
      <c r="W26" t="s">
        <v>35</v>
      </c>
      <c r="X26" t="s">
        <v>43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</row>
    <row r="27" spans="1:36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f>FLOOR(Table1_2[[#This Row],[MonthlyIncome]],1000)</f>
        <v>19000</v>
      </c>
      <c r="T27">
        <v>19094</v>
      </c>
      <c r="U27">
        <v>10735</v>
      </c>
      <c r="V27">
        <v>4</v>
      </c>
      <c r="W27" t="s">
        <v>35</v>
      </c>
      <c r="X27" t="s">
        <v>43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</row>
    <row r="28" spans="1:36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f>FLOOR(Table1_2[[#This Row],[MonthlyIncome]],1000)</f>
        <v>3000</v>
      </c>
      <c r="T28">
        <v>3919</v>
      </c>
      <c r="U28">
        <v>4681</v>
      </c>
      <c r="V28">
        <v>1</v>
      </c>
      <c r="W28" t="s">
        <v>35</v>
      </c>
      <c r="X28" t="s">
        <v>35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</row>
    <row r="29" spans="1:36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f>FLOOR(Table1_2[[#This Row],[MonthlyIncome]],1000)</f>
        <v>6000</v>
      </c>
      <c r="T29">
        <v>6825</v>
      </c>
      <c r="U29">
        <v>21173</v>
      </c>
      <c r="V29">
        <v>0</v>
      </c>
      <c r="W29" t="s">
        <v>35</v>
      </c>
      <c r="X29" t="s">
        <v>43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</row>
    <row r="30" spans="1:36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f>FLOOR(Table1_2[[#This Row],[MonthlyIncome]],1000)</f>
        <v>10000</v>
      </c>
      <c r="T30">
        <v>10248</v>
      </c>
      <c r="U30">
        <v>2094</v>
      </c>
      <c r="V30">
        <v>3</v>
      </c>
      <c r="W30" t="s">
        <v>35</v>
      </c>
      <c r="X30" t="s">
        <v>43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</row>
    <row r="31" spans="1:36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f>FLOOR(Table1_2[[#This Row],[MonthlyIncome]],1000)</f>
        <v>18000</v>
      </c>
      <c r="T31">
        <v>18947</v>
      </c>
      <c r="U31">
        <v>22822</v>
      </c>
      <c r="V31">
        <v>3</v>
      </c>
      <c r="W31" t="s">
        <v>35</v>
      </c>
      <c r="X31" t="s">
        <v>43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</row>
    <row r="32" spans="1:36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f>FLOOR(Table1_2[[#This Row],[MonthlyIncome]],1000)</f>
        <v>2000</v>
      </c>
      <c r="T32">
        <v>2496</v>
      </c>
      <c r="U32">
        <v>6670</v>
      </c>
      <c r="V32">
        <v>4</v>
      </c>
      <c r="W32" t="s">
        <v>35</v>
      </c>
      <c r="X32" t="s">
        <v>43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</row>
    <row r="33" spans="1:36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f>FLOOR(Table1_2[[#This Row],[MonthlyIncome]],1000)</f>
        <v>6000</v>
      </c>
      <c r="T33">
        <v>6465</v>
      </c>
      <c r="U33">
        <v>19121</v>
      </c>
      <c r="V33">
        <v>2</v>
      </c>
      <c r="W33" t="s">
        <v>35</v>
      </c>
      <c r="X33" t="s">
        <v>35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</row>
    <row r="34" spans="1:36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f>FLOOR(Table1_2[[#This Row],[MonthlyIncome]],1000)</f>
        <v>2000</v>
      </c>
      <c r="T34">
        <v>2206</v>
      </c>
      <c r="U34">
        <v>16117</v>
      </c>
      <c r="V34">
        <v>1</v>
      </c>
      <c r="W34" t="s">
        <v>35</v>
      </c>
      <c r="X34" t="s">
        <v>43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</row>
    <row r="35" spans="1:36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f>FLOOR(Table1_2[[#This Row],[MonthlyIncome]],1000)</f>
        <v>2000</v>
      </c>
      <c r="T35">
        <v>2086</v>
      </c>
      <c r="U35">
        <v>3335</v>
      </c>
      <c r="V35">
        <v>3</v>
      </c>
      <c r="W35" t="s">
        <v>35</v>
      </c>
      <c r="X35" t="s">
        <v>43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</row>
    <row r="36" spans="1:36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f>FLOOR(Table1_2[[#This Row],[MonthlyIncome]],1000)</f>
        <v>2000</v>
      </c>
      <c r="T36">
        <v>2293</v>
      </c>
      <c r="U36">
        <v>3020</v>
      </c>
      <c r="V36">
        <v>2</v>
      </c>
      <c r="W36" t="s">
        <v>35</v>
      </c>
      <c r="X36" t="s">
        <v>35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</row>
    <row r="37" spans="1:36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f>FLOOR(Table1_2[[#This Row],[MonthlyIncome]],1000)</f>
        <v>2000</v>
      </c>
      <c r="T37">
        <v>2645</v>
      </c>
      <c r="U37">
        <v>21923</v>
      </c>
      <c r="V37">
        <v>1</v>
      </c>
      <c r="W37" t="s">
        <v>35</v>
      </c>
      <c r="X37" t="s">
        <v>43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</row>
    <row r="38" spans="1:36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f>FLOOR(Table1_2[[#This Row],[MonthlyIncome]],1000)</f>
        <v>2000</v>
      </c>
      <c r="T38">
        <v>2683</v>
      </c>
      <c r="U38">
        <v>3810</v>
      </c>
      <c r="V38">
        <v>1</v>
      </c>
      <c r="W38" t="s">
        <v>35</v>
      </c>
      <c r="X38" t="s">
        <v>35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</row>
    <row r="39" spans="1:36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f>FLOOR(Table1_2[[#This Row],[MonthlyIncome]],1000)</f>
        <v>2000</v>
      </c>
      <c r="T39">
        <v>2014</v>
      </c>
      <c r="U39">
        <v>9687</v>
      </c>
      <c r="V39">
        <v>1</v>
      </c>
      <c r="W39" t="s">
        <v>35</v>
      </c>
      <c r="X39" t="s">
        <v>43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</row>
    <row r="40" spans="1:36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f>FLOOR(Table1_2[[#This Row],[MonthlyIncome]],1000)</f>
        <v>3000</v>
      </c>
      <c r="T40">
        <v>3419</v>
      </c>
      <c r="U40">
        <v>13072</v>
      </c>
      <c r="V40">
        <v>9</v>
      </c>
      <c r="W40" t="s">
        <v>35</v>
      </c>
      <c r="X40" t="s">
        <v>35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</row>
    <row r="41" spans="1:36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f>FLOOR(Table1_2[[#This Row],[MonthlyIncome]],1000)</f>
        <v>5000</v>
      </c>
      <c r="T41">
        <v>5376</v>
      </c>
      <c r="U41">
        <v>3193</v>
      </c>
      <c r="V41">
        <v>2</v>
      </c>
      <c r="W41" t="s">
        <v>35</v>
      </c>
      <c r="X41" t="s">
        <v>43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</row>
    <row r="42" spans="1:36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f>FLOOR(Table1_2[[#This Row],[MonthlyIncome]],1000)</f>
        <v>1000</v>
      </c>
      <c r="T42">
        <v>1951</v>
      </c>
      <c r="U42">
        <v>10910</v>
      </c>
      <c r="V42">
        <v>1</v>
      </c>
      <c r="W42" t="s">
        <v>35</v>
      </c>
      <c r="X42" t="s">
        <v>43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</row>
    <row r="43" spans="1:36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f>FLOOR(Table1_2[[#This Row],[MonthlyIncome]],1000)</f>
        <v>2000</v>
      </c>
      <c r="T43">
        <v>2341</v>
      </c>
      <c r="U43">
        <v>19715</v>
      </c>
      <c r="V43">
        <v>1</v>
      </c>
      <c r="W43" t="s">
        <v>35</v>
      </c>
      <c r="X43" t="s">
        <v>43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</row>
    <row r="44" spans="1:36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f>FLOOR(Table1_2[[#This Row],[MonthlyIncome]],1000)</f>
        <v>2000</v>
      </c>
      <c r="T44">
        <v>2293</v>
      </c>
      <c r="U44">
        <v>10558</v>
      </c>
      <c r="V44">
        <v>1</v>
      </c>
      <c r="W44" t="s">
        <v>35</v>
      </c>
      <c r="X44" t="s">
        <v>43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</row>
    <row r="45" spans="1:36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f>FLOOR(Table1_2[[#This Row],[MonthlyIncome]],1000)</f>
        <v>8000</v>
      </c>
      <c r="T45">
        <v>8726</v>
      </c>
      <c r="U45">
        <v>2975</v>
      </c>
      <c r="V45">
        <v>1</v>
      </c>
      <c r="W45" t="s">
        <v>35</v>
      </c>
      <c r="X45" t="s">
        <v>43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</row>
    <row r="46" spans="1:36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f>FLOOR(Table1_2[[#This Row],[MonthlyIncome]],1000)</f>
        <v>4000</v>
      </c>
      <c r="T46">
        <v>4011</v>
      </c>
      <c r="U46">
        <v>10781</v>
      </c>
      <c r="V46">
        <v>1</v>
      </c>
      <c r="W46" t="s">
        <v>35</v>
      </c>
      <c r="X46" t="s">
        <v>43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</row>
    <row r="47" spans="1:36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f>FLOOR(Table1_2[[#This Row],[MonthlyIncome]],1000)</f>
        <v>19000</v>
      </c>
      <c r="T47">
        <v>19545</v>
      </c>
      <c r="U47">
        <v>16280</v>
      </c>
      <c r="V47">
        <v>1</v>
      </c>
      <c r="W47" t="s">
        <v>35</v>
      </c>
      <c r="X47" t="s">
        <v>43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</row>
    <row r="48" spans="1:36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f>FLOOR(Table1_2[[#This Row],[MonthlyIncome]],1000)</f>
        <v>4000</v>
      </c>
      <c r="T48">
        <v>4568</v>
      </c>
      <c r="U48">
        <v>10034</v>
      </c>
      <c r="V48">
        <v>0</v>
      </c>
      <c r="W48" t="s">
        <v>35</v>
      </c>
      <c r="X48" t="s">
        <v>43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</row>
    <row r="49" spans="1:36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f>FLOOR(Table1_2[[#This Row],[MonthlyIncome]],1000)</f>
        <v>3000</v>
      </c>
      <c r="T49">
        <v>3022</v>
      </c>
      <c r="U49">
        <v>10227</v>
      </c>
      <c r="V49">
        <v>4</v>
      </c>
      <c r="W49" t="s">
        <v>35</v>
      </c>
      <c r="X49" t="s">
        <v>43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</row>
    <row r="50" spans="1:36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f>FLOOR(Table1_2[[#This Row],[MonthlyIncome]],1000)</f>
        <v>5000</v>
      </c>
      <c r="T50">
        <v>5772</v>
      </c>
      <c r="U50">
        <v>20445</v>
      </c>
      <c r="V50">
        <v>4</v>
      </c>
      <c r="W50" t="s">
        <v>35</v>
      </c>
      <c r="X50" t="s">
        <v>35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</row>
    <row r="51" spans="1:36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f>FLOOR(Table1_2[[#This Row],[MonthlyIncome]],1000)</f>
        <v>2000</v>
      </c>
      <c r="T51">
        <v>2269</v>
      </c>
      <c r="U51">
        <v>4892</v>
      </c>
      <c r="V51">
        <v>1</v>
      </c>
      <c r="W51" t="s">
        <v>35</v>
      </c>
      <c r="X51" t="s">
        <v>43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</row>
    <row r="52" spans="1:36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f>FLOOR(Table1_2[[#This Row],[MonthlyIncome]],1000)</f>
        <v>5000</v>
      </c>
      <c r="T52">
        <v>5381</v>
      </c>
      <c r="U52">
        <v>19294</v>
      </c>
      <c r="V52">
        <v>9</v>
      </c>
      <c r="W52" t="s">
        <v>35</v>
      </c>
      <c r="X52" t="s">
        <v>35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</row>
    <row r="53" spans="1:36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f>FLOOR(Table1_2[[#This Row],[MonthlyIncome]],1000)</f>
        <v>3000</v>
      </c>
      <c r="T53">
        <v>3441</v>
      </c>
      <c r="U53">
        <v>11179</v>
      </c>
      <c r="V53">
        <v>1</v>
      </c>
      <c r="W53" t="s">
        <v>35</v>
      </c>
      <c r="X53" t="s">
        <v>35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</row>
    <row r="54" spans="1:36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f>FLOOR(Table1_2[[#This Row],[MonthlyIncome]],1000)</f>
        <v>5000</v>
      </c>
      <c r="T54">
        <v>5454</v>
      </c>
      <c r="U54">
        <v>4009</v>
      </c>
      <c r="V54">
        <v>5</v>
      </c>
      <c r="W54" t="s">
        <v>35</v>
      </c>
      <c r="X54" t="s">
        <v>35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</row>
    <row r="55" spans="1:36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f>FLOOR(Table1_2[[#This Row],[MonthlyIncome]],1000)</f>
        <v>9000</v>
      </c>
      <c r="T55">
        <v>9884</v>
      </c>
      <c r="U55">
        <v>8302</v>
      </c>
      <c r="V55">
        <v>2</v>
      </c>
      <c r="W55" t="s">
        <v>35</v>
      </c>
      <c r="X55" t="s">
        <v>35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</row>
    <row r="56" spans="1:36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f>FLOOR(Table1_2[[#This Row],[MonthlyIncome]],1000)</f>
        <v>4000</v>
      </c>
      <c r="T56">
        <v>4157</v>
      </c>
      <c r="U56">
        <v>21436</v>
      </c>
      <c r="V56">
        <v>7</v>
      </c>
      <c r="W56" t="s">
        <v>35</v>
      </c>
      <c r="X56" t="s">
        <v>35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</row>
    <row r="57" spans="1:36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f>FLOOR(Table1_2[[#This Row],[MonthlyIncome]],1000)</f>
        <v>13000</v>
      </c>
      <c r="T57">
        <v>13458</v>
      </c>
      <c r="U57">
        <v>15146</v>
      </c>
      <c r="V57">
        <v>1</v>
      </c>
      <c r="W57" t="s">
        <v>35</v>
      </c>
      <c r="X57" t="s">
        <v>35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</row>
    <row r="58" spans="1:36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f>FLOOR(Table1_2[[#This Row],[MonthlyIncome]],1000)</f>
        <v>9000</v>
      </c>
      <c r="T58">
        <v>9069</v>
      </c>
      <c r="U58">
        <v>11031</v>
      </c>
      <c r="V58">
        <v>1</v>
      </c>
      <c r="W58" t="s">
        <v>35</v>
      </c>
      <c r="X58" t="s">
        <v>43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</row>
    <row r="59" spans="1:36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f>FLOOR(Table1_2[[#This Row],[MonthlyIncome]],1000)</f>
        <v>4000</v>
      </c>
      <c r="T59">
        <v>4014</v>
      </c>
      <c r="U59">
        <v>16002</v>
      </c>
      <c r="V59">
        <v>3</v>
      </c>
      <c r="W59" t="s">
        <v>35</v>
      </c>
      <c r="X59" t="s">
        <v>35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</row>
    <row r="60" spans="1:36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f>FLOOR(Table1_2[[#This Row],[MonthlyIncome]],1000)</f>
        <v>5000</v>
      </c>
      <c r="T60">
        <v>5915</v>
      </c>
      <c r="U60">
        <v>9528</v>
      </c>
      <c r="V60">
        <v>3</v>
      </c>
      <c r="W60" t="s">
        <v>35</v>
      </c>
      <c r="X60" t="s">
        <v>43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</row>
    <row r="61" spans="1:36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f>FLOOR(Table1_2[[#This Row],[MonthlyIncome]],1000)</f>
        <v>5000</v>
      </c>
      <c r="T61">
        <v>5993</v>
      </c>
      <c r="U61">
        <v>2689</v>
      </c>
      <c r="V61">
        <v>1</v>
      </c>
      <c r="W61" t="s">
        <v>35</v>
      </c>
      <c r="X61" t="s">
        <v>43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</row>
    <row r="62" spans="1:36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f>FLOOR(Table1_2[[#This Row],[MonthlyIncome]],1000)</f>
        <v>6000</v>
      </c>
      <c r="T62">
        <v>6162</v>
      </c>
      <c r="U62">
        <v>10877</v>
      </c>
      <c r="V62">
        <v>1</v>
      </c>
      <c r="W62" t="s">
        <v>35</v>
      </c>
      <c r="X62" t="s">
        <v>35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</row>
    <row r="63" spans="1:36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f>FLOOR(Table1_2[[#This Row],[MonthlyIncome]],1000)</f>
        <v>2000</v>
      </c>
      <c r="T63">
        <v>2406</v>
      </c>
      <c r="U63">
        <v>5456</v>
      </c>
      <c r="V63">
        <v>1</v>
      </c>
      <c r="W63" t="s">
        <v>35</v>
      </c>
      <c r="X63" t="s">
        <v>43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</row>
    <row r="64" spans="1:36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f>FLOOR(Table1_2[[#This Row],[MonthlyIncome]],1000)</f>
        <v>18000</v>
      </c>
      <c r="T64">
        <v>18740</v>
      </c>
      <c r="U64">
        <v>16701</v>
      </c>
      <c r="V64">
        <v>5</v>
      </c>
      <c r="W64" t="s">
        <v>35</v>
      </c>
      <c r="X64" t="s">
        <v>35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</row>
    <row r="65" spans="1:36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f>FLOOR(Table1_2[[#This Row],[MonthlyIncome]],1000)</f>
        <v>7000</v>
      </c>
      <c r="T65">
        <v>7637</v>
      </c>
      <c r="U65">
        <v>2354</v>
      </c>
      <c r="V65">
        <v>7</v>
      </c>
      <c r="W65" t="s">
        <v>35</v>
      </c>
      <c r="X65" t="s">
        <v>43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</row>
    <row r="66" spans="1:36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f>FLOOR(Table1_2[[#This Row],[MonthlyIncome]],1000)</f>
        <v>10000</v>
      </c>
      <c r="T66">
        <v>10096</v>
      </c>
      <c r="U66">
        <v>8202</v>
      </c>
      <c r="V66">
        <v>1</v>
      </c>
      <c r="W66" t="s">
        <v>35</v>
      </c>
      <c r="X66" t="s">
        <v>43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</row>
    <row r="67" spans="1:36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f>FLOOR(Table1_2[[#This Row],[MonthlyIncome]],1000)</f>
        <v>14000</v>
      </c>
      <c r="T67">
        <v>14756</v>
      </c>
      <c r="U67">
        <v>19730</v>
      </c>
      <c r="V67">
        <v>2</v>
      </c>
      <c r="W67" t="s">
        <v>35</v>
      </c>
      <c r="X67" t="s">
        <v>35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</row>
    <row r="68" spans="1:36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f>FLOOR(Table1_2[[#This Row],[MonthlyIncome]],1000)</f>
        <v>6000</v>
      </c>
      <c r="T68">
        <v>6499</v>
      </c>
      <c r="U68">
        <v>22656</v>
      </c>
      <c r="V68">
        <v>1</v>
      </c>
      <c r="W68" t="s">
        <v>35</v>
      </c>
      <c r="X68" t="s">
        <v>43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</row>
    <row r="69" spans="1:36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f>FLOOR(Table1_2[[#This Row],[MonthlyIncome]],1000)</f>
        <v>9000</v>
      </c>
      <c r="T69">
        <v>9724</v>
      </c>
      <c r="U69">
        <v>18787</v>
      </c>
      <c r="V69">
        <v>2</v>
      </c>
      <c r="W69" t="s">
        <v>35</v>
      </c>
      <c r="X69" t="s">
        <v>43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</row>
    <row r="70" spans="1:36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f>FLOOR(Table1_2[[#This Row],[MonthlyIncome]],1000)</f>
        <v>2000</v>
      </c>
      <c r="T70">
        <v>2194</v>
      </c>
      <c r="U70">
        <v>5868</v>
      </c>
      <c r="V70">
        <v>4</v>
      </c>
      <c r="W70" t="s">
        <v>35</v>
      </c>
      <c r="X70" t="s">
        <v>43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</row>
    <row r="71" spans="1:36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f>FLOOR(Table1_2[[#This Row],[MonthlyIncome]],1000)</f>
        <v>3000</v>
      </c>
      <c r="T71">
        <v>3388</v>
      </c>
      <c r="U71">
        <v>21777</v>
      </c>
      <c r="V71">
        <v>0</v>
      </c>
      <c r="W71" t="s">
        <v>35</v>
      </c>
      <c r="X71" t="s">
        <v>35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</row>
    <row r="72" spans="1:36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f>FLOOR(Table1_2[[#This Row],[MonthlyIncome]],1000)</f>
        <v>5000</v>
      </c>
      <c r="T72">
        <v>5473</v>
      </c>
      <c r="U72">
        <v>24668</v>
      </c>
      <c r="V72">
        <v>7</v>
      </c>
      <c r="W72" t="s">
        <v>35</v>
      </c>
      <c r="X72" t="s">
        <v>43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</row>
    <row r="73" spans="1:36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f>FLOOR(Table1_2[[#This Row],[MonthlyIncome]],1000)</f>
        <v>2000</v>
      </c>
      <c r="T73">
        <v>2703</v>
      </c>
      <c r="U73">
        <v>4956</v>
      </c>
      <c r="V73">
        <v>0</v>
      </c>
      <c r="W73" t="s">
        <v>35</v>
      </c>
      <c r="X73" t="s">
        <v>43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</row>
    <row r="74" spans="1:36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f>FLOOR(Table1_2[[#This Row],[MonthlyIncome]],1000)</f>
        <v>2000</v>
      </c>
      <c r="T74">
        <v>2501</v>
      </c>
      <c r="U74">
        <v>18775</v>
      </c>
      <c r="V74">
        <v>1</v>
      </c>
      <c r="W74" t="s">
        <v>35</v>
      </c>
      <c r="X74" t="s">
        <v>43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</row>
    <row r="75" spans="1:36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f>FLOOR(Table1_2[[#This Row],[MonthlyIncome]],1000)</f>
        <v>6000</v>
      </c>
      <c r="T75">
        <v>6220</v>
      </c>
      <c r="U75">
        <v>7346</v>
      </c>
      <c r="V75">
        <v>1</v>
      </c>
      <c r="W75" t="s">
        <v>35</v>
      </c>
      <c r="X75" t="s">
        <v>43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</row>
    <row r="76" spans="1:36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f>FLOOR(Table1_2[[#This Row],[MonthlyIncome]],1000)</f>
        <v>3000</v>
      </c>
      <c r="T76">
        <v>3038</v>
      </c>
      <c r="U76">
        <v>22002</v>
      </c>
      <c r="V76">
        <v>3</v>
      </c>
      <c r="W76" t="s">
        <v>35</v>
      </c>
      <c r="X76" t="s">
        <v>43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</row>
    <row r="77" spans="1:36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f>FLOOR(Table1_2[[#This Row],[MonthlyIncome]],1000)</f>
        <v>4000</v>
      </c>
      <c r="T77">
        <v>4424</v>
      </c>
      <c r="U77">
        <v>20682</v>
      </c>
      <c r="V77">
        <v>1</v>
      </c>
      <c r="W77" t="s">
        <v>35</v>
      </c>
      <c r="X77" t="s">
        <v>43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</row>
    <row r="78" spans="1:36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f>FLOOR(Table1_2[[#This Row],[MonthlyIncome]],1000)</f>
        <v>4000</v>
      </c>
      <c r="T78">
        <v>4312</v>
      </c>
      <c r="U78">
        <v>23016</v>
      </c>
      <c r="V78">
        <v>0</v>
      </c>
      <c r="W78" t="s">
        <v>35</v>
      </c>
      <c r="X78" t="s">
        <v>43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</row>
    <row r="79" spans="1:36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f>FLOOR(Table1_2[[#This Row],[MonthlyIncome]],1000)</f>
        <v>13000</v>
      </c>
      <c r="T79">
        <v>13245</v>
      </c>
      <c r="U79">
        <v>15067</v>
      </c>
      <c r="V79">
        <v>4</v>
      </c>
      <c r="W79" t="s">
        <v>35</v>
      </c>
      <c r="X79" t="s">
        <v>35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f>FLOOR(Table1_2[[#This Row],[MonthlyIncome]],1000)</f>
        <v>13000</v>
      </c>
      <c r="T80">
        <v>13664</v>
      </c>
      <c r="U80">
        <v>25258</v>
      </c>
      <c r="V80">
        <v>4</v>
      </c>
      <c r="W80" t="s">
        <v>35</v>
      </c>
      <c r="X80" t="s">
        <v>43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</row>
    <row r="81" spans="1:36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f>FLOOR(Table1_2[[#This Row],[MonthlyIncome]],1000)</f>
        <v>5000</v>
      </c>
      <c r="T81">
        <v>5021</v>
      </c>
      <c r="U81">
        <v>10425</v>
      </c>
      <c r="V81">
        <v>8</v>
      </c>
      <c r="W81" t="s">
        <v>35</v>
      </c>
      <c r="X81" t="s">
        <v>35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</row>
    <row r="82" spans="1:36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f>FLOOR(Table1_2[[#This Row],[MonthlyIncome]],1000)</f>
        <v>5000</v>
      </c>
      <c r="T82">
        <v>5126</v>
      </c>
      <c r="U82">
        <v>15998</v>
      </c>
      <c r="V82">
        <v>1</v>
      </c>
      <c r="W82" t="s">
        <v>35</v>
      </c>
      <c r="X82" t="s">
        <v>35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</row>
    <row r="83" spans="1:36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f>FLOOR(Table1_2[[#This Row],[MonthlyIncome]],1000)</f>
        <v>2000</v>
      </c>
      <c r="T83">
        <v>2859</v>
      </c>
      <c r="U83">
        <v>26278</v>
      </c>
      <c r="V83">
        <v>1</v>
      </c>
      <c r="W83" t="s">
        <v>35</v>
      </c>
      <c r="X83" t="s">
        <v>43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</row>
    <row r="84" spans="1:36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f>FLOOR(Table1_2[[#This Row],[MonthlyIncome]],1000)</f>
        <v>10000</v>
      </c>
      <c r="T84">
        <v>10239</v>
      </c>
      <c r="U84">
        <v>18092</v>
      </c>
      <c r="V84">
        <v>3</v>
      </c>
      <c r="W84" t="s">
        <v>35</v>
      </c>
      <c r="X84" t="s">
        <v>43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</row>
    <row r="85" spans="1:36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f>FLOOR(Table1_2[[#This Row],[MonthlyIncome]],1000)</f>
        <v>5000</v>
      </c>
      <c r="T85">
        <v>5329</v>
      </c>
      <c r="U85">
        <v>15717</v>
      </c>
      <c r="V85">
        <v>7</v>
      </c>
      <c r="W85" t="s">
        <v>35</v>
      </c>
      <c r="X85" t="s">
        <v>35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</row>
    <row r="86" spans="1:36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f>FLOOR(Table1_2[[#This Row],[MonthlyIncome]],1000)</f>
        <v>4000</v>
      </c>
      <c r="T86">
        <v>4325</v>
      </c>
      <c r="U86">
        <v>17736</v>
      </c>
      <c r="V86">
        <v>1</v>
      </c>
      <c r="W86" t="s">
        <v>35</v>
      </c>
      <c r="X86" t="s">
        <v>43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</row>
    <row r="87" spans="1:36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f>FLOOR(Table1_2[[#This Row],[MonthlyIncome]],1000)</f>
        <v>7000</v>
      </c>
      <c r="T87">
        <v>7260</v>
      </c>
      <c r="U87">
        <v>21698</v>
      </c>
      <c r="V87">
        <v>4</v>
      </c>
      <c r="W87" t="s">
        <v>35</v>
      </c>
      <c r="X87" t="s">
        <v>43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</row>
    <row r="88" spans="1:36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f>FLOOR(Table1_2[[#This Row],[MonthlyIncome]],1000)</f>
        <v>2000</v>
      </c>
      <c r="T88">
        <v>2322</v>
      </c>
      <c r="U88">
        <v>9518</v>
      </c>
      <c r="V88">
        <v>3</v>
      </c>
      <c r="W88" t="s">
        <v>35</v>
      </c>
      <c r="X88" t="s">
        <v>43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f>FLOOR(Table1_2[[#This Row],[MonthlyIncome]],1000)</f>
        <v>2000</v>
      </c>
      <c r="T89">
        <v>2075</v>
      </c>
      <c r="U89">
        <v>18725</v>
      </c>
      <c r="V89">
        <v>3</v>
      </c>
      <c r="W89" t="s">
        <v>35</v>
      </c>
      <c r="X89" t="s">
        <v>43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</row>
    <row r="90" spans="1:36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f>FLOOR(Table1_2[[#This Row],[MonthlyIncome]],1000)</f>
        <v>4000</v>
      </c>
      <c r="T90">
        <v>4152</v>
      </c>
      <c r="U90">
        <v>15830</v>
      </c>
      <c r="V90">
        <v>1</v>
      </c>
      <c r="W90" t="s">
        <v>35</v>
      </c>
      <c r="X90" t="s">
        <v>43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</row>
    <row r="91" spans="1:36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f>FLOOR(Table1_2[[#This Row],[MonthlyIncome]],1000)</f>
        <v>9000</v>
      </c>
      <c r="T91">
        <v>9619</v>
      </c>
      <c r="U91">
        <v>13596</v>
      </c>
      <c r="V91">
        <v>1</v>
      </c>
      <c r="W91" t="s">
        <v>35</v>
      </c>
      <c r="X91" t="s">
        <v>43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</row>
    <row r="92" spans="1:36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f>FLOOR(Table1_2[[#This Row],[MonthlyIncome]],1000)</f>
        <v>13000</v>
      </c>
      <c r="T92">
        <v>13503</v>
      </c>
      <c r="U92">
        <v>14115</v>
      </c>
      <c r="V92">
        <v>1</v>
      </c>
      <c r="W92" t="s">
        <v>35</v>
      </c>
      <c r="X92" t="s">
        <v>43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</row>
    <row r="93" spans="1:36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f>FLOOR(Table1_2[[#This Row],[MonthlyIncome]],1000)</f>
        <v>5000</v>
      </c>
      <c r="T93">
        <v>5441</v>
      </c>
      <c r="U93">
        <v>8423</v>
      </c>
      <c r="V93">
        <v>0</v>
      </c>
      <c r="W93" t="s">
        <v>35</v>
      </c>
      <c r="X93" t="s">
        <v>35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</row>
    <row r="94" spans="1:36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f>FLOOR(Table1_2[[#This Row],[MonthlyIncome]],1000)</f>
        <v>5000</v>
      </c>
      <c r="T94">
        <v>5209</v>
      </c>
      <c r="U94">
        <v>19760</v>
      </c>
      <c r="V94">
        <v>1</v>
      </c>
      <c r="W94" t="s">
        <v>35</v>
      </c>
      <c r="X94" t="s">
        <v>35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</row>
    <row r="95" spans="1:36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f>FLOOR(Table1_2[[#This Row],[MonthlyIncome]],1000)</f>
        <v>10000</v>
      </c>
      <c r="T95">
        <v>10673</v>
      </c>
      <c r="U95">
        <v>3142</v>
      </c>
      <c r="V95">
        <v>2</v>
      </c>
      <c r="W95" t="s">
        <v>35</v>
      </c>
      <c r="X95" t="s">
        <v>35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</row>
    <row r="96" spans="1:36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f>FLOOR(Table1_2[[#This Row],[MonthlyIncome]],1000)</f>
        <v>5000</v>
      </c>
      <c r="T96">
        <v>5010</v>
      </c>
      <c r="U96">
        <v>24301</v>
      </c>
      <c r="V96">
        <v>1</v>
      </c>
      <c r="W96" t="s">
        <v>35</v>
      </c>
      <c r="X96" t="s">
        <v>43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</row>
    <row r="97" spans="1:36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f>FLOOR(Table1_2[[#This Row],[MonthlyIncome]],1000)</f>
        <v>13000</v>
      </c>
      <c r="T97">
        <v>13549</v>
      </c>
      <c r="U97">
        <v>24001</v>
      </c>
      <c r="V97">
        <v>9</v>
      </c>
      <c r="W97" t="s">
        <v>35</v>
      </c>
      <c r="X97" t="s">
        <v>43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</row>
    <row r="98" spans="1:36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f>FLOOR(Table1_2[[#This Row],[MonthlyIncome]],1000)</f>
        <v>4000</v>
      </c>
      <c r="T98">
        <v>4999</v>
      </c>
      <c r="U98">
        <v>17519</v>
      </c>
      <c r="V98">
        <v>0</v>
      </c>
      <c r="W98" t="s">
        <v>35</v>
      </c>
      <c r="X98" t="s">
        <v>43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</row>
    <row r="99" spans="1:36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f>FLOOR(Table1_2[[#This Row],[MonthlyIncome]],1000)</f>
        <v>4000</v>
      </c>
      <c r="T99">
        <v>4221</v>
      </c>
      <c r="U99">
        <v>8863</v>
      </c>
      <c r="V99">
        <v>1</v>
      </c>
      <c r="W99" t="s">
        <v>35</v>
      </c>
      <c r="X99" t="s">
        <v>43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</row>
    <row r="100" spans="1:36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f>FLOOR(Table1_2[[#This Row],[MonthlyIncome]],1000)</f>
        <v>13000</v>
      </c>
      <c r="T100">
        <v>13872</v>
      </c>
      <c r="U100">
        <v>24409</v>
      </c>
      <c r="V100">
        <v>0</v>
      </c>
      <c r="W100" t="s">
        <v>35</v>
      </c>
      <c r="X100" t="s">
        <v>43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</row>
    <row r="101" spans="1:36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f>FLOOR(Table1_2[[#This Row],[MonthlyIncome]],1000)</f>
        <v>2000</v>
      </c>
      <c r="T101">
        <v>2042</v>
      </c>
      <c r="U101">
        <v>25043</v>
      </c>
      <c r="V101">
        <v>4</v>
      </c>
      <c r="W101" t="s">
        <v>35</v>
      </c>
      <c r="X101" t="s">
        <v>43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</row>
    <row r="102" spans="1:36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f>FLOOR(Table1_2[[#This Row],[MonthlyIncome]],1000)</f>
        <v>2000</v>
      </c>
      <c r="T102">
        <v>2073</v>
      </c>
      <c r="U102">
        <v>23648</v>
      </c>
      <c r="V102">
        <v>4</v>
      </c>
      <c r="W102" t="s">
        <v>35</v>
      </c>
      <c r="X102" t="s">
        <v>35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</row>
    <row r="103" spans="1:36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f>FLOOR(Table1_2[[#This Row],[MonthlyIncome]],1000)</f>
        <v>2000</v>
      </c>
      <c r="T103">
        <v>2956</v>
      </c>
      <c r="U103">
        <v>15178</v>
      </c>
      <c r="V103">
        <v>1</v>
      </c>
      <c r="W103" t="s">
        <v>35</v>
      </c>
      <c r="X103" t="s">
        <v>43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</row>
    <row r="104" spans="1:36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f>FLOOR(Table1_2[[#This Row],[MonthlyIncome]],1000)</f>
        <v>2000</v>
      </c>
      <c r="T104">
        <v>2926</v>
      </c>
      <c r="U104">
        <v>19783</v>
      </c>
      <c r="V104">
        <v>1</v>
      </c>
      <c r="W104" t="s">
        <v>35</v>
      </c>
      <c r="X104" t="s">
        <v>35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</row>
    <row r="105" spans="1:36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f>FLOOR(Table1_2[[#This Row],[MonthlyIncome]],1000)</f>
        <v>4000</v>
      </c>
      <c r="T105">
        <v>4809</v>
      </c>
      <c r="U105">
        <v>12482</v>
      </c>
      <c r="V105">
        <v>1</v>
      </c>
      <c r="W105" t="s">
        <v>35</v>
      </c>
      <c r="X105" t="s">
        <v>43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</row>
    <row r="106" spans="1:36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f>FLOOR(Table1_2[[#This Row],[MonthlyIncome]],1000)</f>
        <v>5000</v>
      </c>
      <c r="T106">
        <v>5163</v>
      </c>
      <c r="U106">
        <v>15850</v>
      </c>
      <c r="V106">
        <v>5</v>
      </c>
      <c r="W106" t="s">
        <v>35</v>
      </c>
      <c r="X106" t="s">
        <v>43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</row>
    <row r="107" spans="1:36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f>FLOOR(Table1_2[[#This Row],[MonthlyIncome]],1000)</f>
        <v>18000</v>
      </c>
      <c r="T107">
        <v>18844</v>
      </c>
      <c r="U107">
        <v>21922</v>
      </c>
      <c r="V107">
        <v>9</v>
      </c>
      <c r="W107" t="s">
        <v>35</v>
      </c>
      <c r="X107" t="s">
        <v>43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</row>
    <row r="108" spans="1:36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f>FLOOR(Table1_2[[#This Row],[MonthlyIncome]],1000)</f>
        <v>18000</v>
      </c>
      <c r="T108">
        <v>18172</v>
      </c>
      <c r="U108">
        <v>9755</v>
      </c>
      <c r="V108">
        <v>3</v>
      </c>
      <c r="W108" t="s">
        <v>35</v>
      </c>
      <c r="X108" t="s">
        <v>35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</row>
    <row r="109" spans="1:36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f>FLOOR(Table1_2[[#This Row],[MonthlyIncome]],1000)</f>
        <v>5000</v>
      </c>
      <c r="T109">
        <v>5744</v>
      </c>
      <c r="U109">
        <v>26959</v>
      </c>
      <c r="V109">
        <v>1</v>
      </c>
      <c r="W109" t="s">
        <v>35</v>
      </c>
      <c r="X109" t="s">
        <v>35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</row>
    <row r="110" spans="1:36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f>FLOOR(Table1_2[[#This Row],[MonthlyIncome]],1000)</f>
        <v>2000</v>
      </c>
      <c r="T110">
        <v>2889</v>
      </c>
      <c r="U110">
        <v>26897</v>
      </c>
      <c r="V110">
        <v>1</v>
      </c>
      <c r="W110" t="s">
        <v>35</v>
      </c>
      <c r="X110" t="s">
        <v>43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</row>
    <row r="111" spans="1:36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f>FLOOR(Table1_2[[#This Row],[MonthlyIncome]],1000)</f>
        <v>2000</v>
      </c>
      <c r="T111">
        <v>2871</v>
      </c>
      <c r="U111">
        <v>23785</v>
      </c>
      <c r="V111">
        <v>1</v>
      </c>
      <c r="W111" t="s">
        <v>35</v>
      </c>
      <c r="X111" t="s">
        <v>43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</row>
    <row r="112" spans="1:36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f>FLOOR(Table1_2[[#This Row],[MonthlyIncome]],1000)</f>
        <v>7000</v>
      </c>
      <c r="T112">
        <v>7484</v>
      </c>
      <c r="U112">
        <v>25796</v>
      </c>
      <c r="V112">
        <v>3</v>
      </c>
      <c r="W112" t="s">
        <v>35</v>
      </c>
      <c r="X112" t="s">
        <v>43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</row>
    <row r="113" spans="1:36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f>FLOOR(Table1_2[[#This Row],[MonthlyIncome]],1000)</f>
        <v>6000</v>
      </c>
      <c r="T113">
        <v>6074</v>
      </c>
      <c r="U113">
        <v>22887</v>
      </c>
      <c r="V113">
        <v>1</v>
      </c>
      <c r="W113" t="s">
        <v>35</v>
      </c>
      <c r="X113" t="s">
        <v>35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</row>
    <row r="114" spans="1:36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f>FLOOR(Table1_2[[#This Row],[MonthlyIncome]],1000)</f>
        <v>17000</v>
      </c>
      <c r="T114">
        <v>17328</v>
      </c>
      <c r="U114">
        <v>13871</v>
      </c>
      <c r="V114">
        <v>2</v>
      </c>
      <c r="W114" t="s">
        <v>35</v>
      </c>
      <c r="X114" t="s">
        <v>35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</row>
    <row r="115" spans="1:36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f>FLOOR(Table1_2[[#This Row],[MonthlyIncome]],1000)</f>
        <v>2000</v>
      </c>
      <c r="T115">
        <v>2774</v>
      </c>
      <c r="U115">
        <v>13257</v>
      </c>
      <c r="V115">
        <v>0</v>
      </c>
      <c r="W115" t="s">
        <v>35</v>
      </c>
      <c r="X115" t="s">
        <v>43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</row>
    <row r="116" spans="1:36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f>FLOOR(Table1_2[[#This Row],[MonthlyIncome]],1000)</f>
        <v>4000</v>
      </c>
      <c r="T116">
        <v>4505</v>
      </c>
      <c r="U116">
        <v>15000</v>
      </c>
      <c r="V116">
        <v>6</v>
      </c>
      <c r="W116" t="s">
        <v>35</v>
      </c>
      <c r="X116" t="s">
        <v>43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f>FLOOR(Table1_2[[#This Row],[MonthlyIncome]],1000)</f>
        <v>7000</v>
      </c>
      <c r="T117">
        <v>7428</v>
      </c>
      <c r="U117">
        <v>14506</v>
      </c>
      <c r="V117">
        <v>2</v>
      </c>
      <c r="W117" t="s">
        <v>35</v>
      </c>
      <c r="X117" t="s">
        <v>43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</row>
    <row r="118" spans="1:36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f>FLOOR(Table1_2[[#This Row],[MonthlyIncome]],1000)</f>
        <v>11000</v>
      </c>
      <c r="T118">
        <v>11631</v>
      </c>
      <c r="U118">
        <v>5615</v>
      </c>
      <c r="V118">
        <v>2</v>
      </c>
      <c r="W118" t="s">
        <v>35</v>
      </c>
      <c r="X118" t="s">
        <v>43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</row>
    <row r="119" spans="1:36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f>FLOOR(Table1_2[[#This Row],[MonthlyIncome]],1000)</f>
        <v>9000</v>
      </c>
      <c r="T119">
        <v>9738</v>
      </c>
      <c r="U119">
        <v>22952</v>
      </c>
      <c r="V119">
        <v>0</v>
      </c>
      <c r="W119" t="s">
        <v>35</v>
      </c>
      <c r="X119" t="s">
        <v>43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</row>
    <row r="120" spans="1:36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f>FLOOR(Table1_2[[#This Row],[MonthlyIncome]],1000)</f>
        <v>2000</v>
      </c>
      <c r="T120">
        <v>2835</v>
      </c>
      <c r="U120">
        <v>2561</v>
      </c>
      <c r="V120">
        <v>5</v>
      </c>
      <c r="W120" t="s">
        <v>35</v>
      </c>
      <c r="X120" t="s">
        <v>43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</row>
    <row r="121" spans="1:36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f>FLOOR(Table1_2[[#This Row],[MonthlyIncome]],1000)</f>
        <v>16000</v>
      </c>
      <c r="T121">
        <v>16959</v>
      </c>
      <c r="U121">
        <v>19494</v>
      </c>
      <c r="V121">
        <v>1</v>
      </c>
      <c r="W121" t="s">
        <v>35</v>
      </c>
      <c r="X121" t="s">
        <v>35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</row>
    <row r="122" spans="1:36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f>FLOOR(Table1_2[[#This Row],[MonthlyIncome]],1000)</f>
        <v>2000</v>
      </c>
      <c r="T122">
        <v>2613</v>
      </c>
      <c r="U122">
        <v>22310</v>
      </c>
      <c r="V122">
        <v>1</v>
      </c>
      <c r="W122" t="s">
        <v>35</v>
      </c>
      <c r="X122" t="s">
        <v>43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</row>
    <row r="123" spans="1:36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f>FLOOR(Table1_2[[#This Row],[MonthlyIncome]],1000)</f>
        <v>6000</v>
      </c>
      <c r="T123">
        <v>6146</v>
      </c>
      <c r="U123">
        <v>15480</v>
      </c>
      <c r="V123">
        <v>0</v>
      </c>
      <c r="W123" t="s">
        <v>35</v>
      </c>
      <c r="X123" t="s">
        <v>43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</row>
    <row r="124" spans="1:36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f>FLOOR(Table1_2[[#This Row],[MonthlyIncome]],1000)</f>
        <v>4000</v>
      </c>
      <c r="T124">
        <v>4963</v>
      </c>
      <c r="U124">
        <v>4510</v>
      </c>
      <c r="V124">
        <v>9</v>
      </c>
      <c r="W124" t="s">
        <v>35</v>
      </c>
      <c r="X124" t="s">
        <v>35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</row>
    <row r="125" spans="1:36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f>FLOOR(Table1_2[[#This Row],[MonthlyIncome]],1000)</f>
        <v>19000</v>
      </c>
      <c r="T125">
        <v>19537</v>
      </c>
      <c r="U125">
        <v>6462</v>
      </c>
      <c r="V125">
        <v>7</v>
      </c>
      <c r="W125" t="s">
        <v>35</v>
      </c>
      <c r="X125" t="s">
        <v>43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</row>
    <row r="126" spans="1:36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f>FLOOR(Table1_2[[#This Row],[MonthlyIncome]],1000)</f>
        <v>6000</v>
      </c>
      <c r="T126">
        <v>6172</v>
      </c>
      <c r="U126">
        <v>20739</v>
      </c>
      <c r="V126">
        <v>4</v>
      </c>
      <c r="W126" t="s">
        <v>35</v>
      </c>
      <c r="X126" t="s">
        <v>35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</row>
    <row r="127" spans="1:36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f>FLOOR(Table1_2[[#This Row],[MonthlyIncome]],1000)</f>
        <v>2000</v>
      </c>
      <c r="T127">
        <v>2368</v>
      </c>
      <c r="U127">
        <v>23300</v>
      </c>
      <c r="V127">
        <v>1</v>
      </c>
      <c r="W127" t="s">
        <v>35</v>
      </c>
      <c r="X127" t="s">
        <v>43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</row>
    <row r="128" spans="1:36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f>FLOOR(Table1_2[[#This Row],[MonthlyIncome]],1000)</f>
        <v>10000</v>
      </c>
      <c r="T128">
        <v>10312</v>
      </c>
      <c r="U128">
        <v>3465</v>
      </c>
      <c r="V128">
        <v>1</v>
      </c>
      <c r="W128" t="s">
        <v>35</v>
      </c>
      <c r="X128" t="s">
        <v>43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</row>
    <row r="129" spans="1:36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f>FLOOR(Table1_2[[#This Row],[MonthlyIncome]],1000)</f>
        <v>1000</v>
      </c>
      <c r="T129">
        <v>1675</v>
      </c>
      <c r="U129">
        <v>26820</v>
      </c>
      <c r="V129">
        <v>1</v>
      </c>
      <c r="W129" t="s">
        <v>35</v>
      </c>
      <c r="X129" t="s">
        <v>35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</row>
    <row r="130" spans="1:36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f>FLOOR(Table1_2[[#This Row],[MonthlyIncome]],1000)</f>
        <v>2000</v>
      </c>
      <c r="T130">
        <v>2523</v>
      </c>
      <c r="U130">
        <v>19299</v>
      </c>
      <c r="V130">
        <v>0</v>
      </c>
      <c r="W130" t="s">
        <v>35</v>
      </c>
      <c r="X130" t="s">
        <v>43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</row>
    <row r="131" spans="1:36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f>FLOOR(Table1_2[[#This Row],[MonthlyIncome]],1000)</f>
        <v>6000</v>
      </c>
      <c r="T131">
        <v>6567</v>
      </c>
      <c r="U131">
        <v>5549</v>
      </c>
      <c r="V131">
        <v>1</v>
      </c>
      <c r="W131" t="s">
        <v>35</v>
      </c>
      <c r="X131" t="s">
        <v>43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</row>
    <row r="132" spans="1:36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f>FLOOR(Table1_2[[#This Row],[MonthlyIncome]],1000)</f>
        <v>4000</v>
      </c>
      <c r="T132">
        <v>4739</v>
      </c>
      <c r="U132">
        <v>16090</v>
      </c>
      <c r="V132">
        <v>4</v>
      </c>
      <c r="W132" t="s">
        <v>35</v>
      </c>
      <c r="X132" t="s">
        <v>43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</row>
    <row r="133" spans="1:36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f>FLOOR(Table1_2[[#This Row],[MonthlyIncome]],1000)</f>
        <v>9000</v>
      </c>
      <c r="T133">
        <v>9208</v>
      </c>
      <c r="U133">
        <v>6645</v>
      </c>
      <c r="V133">
        <v>4</v>
      </c>
      <c r="W133" t="s">
        <v>35</v>
      </c>
      <c r="X133" t="s">
        <v>43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</row>
    <row r="134" spans="1:36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f>FLOOR(Table1_2[[#This Row],[MonthlyIncome]],1000)</f>
        <v>4000</v>
      </c>
      <c r="T134">
        <v>4559</v>
      </c>
      <c r="U134">
        <v>24788</v>
      </c>
      <c r="V134">
        <v>3</v>
      </c>
      <c r="W134" t="s">
        <v>35</v>
      </c>
      <c r="X134" t="s">
        <v>35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</row>
    <row r="135" spans="1:36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f>FLOOR(Table1_2[[#This Row],[MonthlyIncome]],1000)</f>
        <v>8000</v>
      </c>
      <c r="T135">
        <v>8189</v>
      </c>
      <c r="U135">
        <v>21196</v>
      </c>
      <c r="V135">
        <v>3</v>
      </c>
      <c r="W135" t="s">
        <v>35</v>
      </c>
      <c r="X135" t="s">
        <v>35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</row>
    <row r="136" spans="1:36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f>FLOOR(Table1_2[[#This Row],[MonthlyIncome]],1000)</f>
        <v>2000</v>
      </c>
      <c r="T136">
        <v>2942</v>
      </c>
      <c r="U136">
        <v>8916</v>
      </c>
      <c r="V136">
        <v>1</v>
      </c>
      <c r="W136" t="s">
        <v>35</v>
      </c>
      <c r="X136" t="s">
        <v>43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</row>
    <row r="137" spans="1:36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f>FLOOR(Table1_2[[#This Row],[MonthlyIncome]],1000)</f>
        <v>4000</v>
      </c>
      <c r="T137">
        <v>4941</v>
      </c>
      <c r="U137">
        <v>2819</v>
      </c>
      <c r="V137">
        <v>6</v>
      </c>
      <c r="W137" t="s">
        <v>35</v>
      </c>
      <c r="X137" t="s">
        <v>43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</row>
    <row r="138" spans="1:36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f>FLOOR(Table1_2[[#This Row],[MonthlyIncome]],1000)</f>
        <v>10000</v>
      </c>
      <c r="T138">
        <v>10650</v>
      </c>
      <c r="U138">
        <v>25150</v>
      </c>
      <c r="V138">
        <v>2</v>
      </c>
      <c r="W138" t="s">
        <v>35</v>
      </c>
      <c r="X138" t="s">
        <v>43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</row>
    <row r="139" spans="1:36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f>FLOOR(Table1_2[[#This Row],[MonthlyIncome]],1000)</f>
        <v>5000</v>
      </c>
      <c r="T139">
        <v>5902</v>
      </c>
      <c r="U139">
        <v>14590</v>
      </c>
      <c r="V139">
        <v>4</v>
      </c>
      <c r="W139" t="s">
        <v>35</v>
      </c>
      <c r="X139" t="s">
        <v>43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</row>
    <row r="140" spans="1:36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f>FLOOR(Table1_2[[#This Row],[MonthlyIncome]],1000)</f>
        <v>8000</v>
      </c>
      <c r="T140">
        <v>8639</v>
      </c>
      <c r="U140">
        <v>24835</v>
      </c>
      <c r="V140">
        <v>2</v>
      </c>
      <c r="W140" t="s">
        <v>35</v>
      </c>
      <c r="X140" t="s">
        <v>43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</row>
    <row r="141" spans="1:36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f>FLOOR(Table1_2[[#This Row],[MonthlyIncome]],1000)</f>
        <v>6000</v>
      </c>
      <c r="T141">
        <v>6347</v>
      </c>
      <c r="U141">
        <v>13982</v>
      </c>
      <c r="V141">
        <v>0</v>
      </c>
      <c r="W141" t="s">
        <v>35</v>
      </c>
      <c r="X141" t="s">
        <v>35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</row>
    <row r="142" spans="1:36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f>FLOOR(Table1_2[[#This Row],[MonthlyIncome]],1000)</f>
        <v>4000</v>
      </c>
      <c r="T142">
        <v>4200</v>
      </c>
      <c r="U142">
        <v>10224</v>
      </c>
      <c r="V142">
        <v>7</v>
      </c>
      <c r="W142" t="s">
        <v>35</v>
      </c>
      <c r="X142" t="s">
        <v>43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</row>
    <row r="143" spans="1:36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f>FLOOR(Table1_2[[#This Row],[MonthlyIncome]],1000)</f>
        <v>3000</v>
      </c>
      <c r="T143">
        <v>3452</v>
      </c>
      <c r="U143">
        <v>9752</v>
      </c>
      <c r="V143">
        <v>5</v>
      </c>
      <c r="W143" t="s">
        <v>35</v>
      </c>
      <c r="X143" t="s">
        <v>43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</row>
    <row r="144" spans="1:36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f>FLOOR(Table1_2[[#This Row],[MonthlyIncome]],1000)</f>
        <v>4000</v>
      </c>
      <c r="T144">
        <v>4317</v>
      </c>
      <c r="U144">
        <v>2302</v>
      </c>
      <c r="V144">
        <v>3</v>
      </c>
      <c r="W144" t="s">
        <v>35</v>
      </c>
      <c r="X144" t="s">
        <v>35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</row>
    <row r="145" spans="1:36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f>FLOOR(Table1_2[[#This Row],[MonthlyIncome]],1000)</f>
        <v>2000</v>
      </c>
      <c r="T145">
        <v>2632</v>
      </c>
      <c r="U145">
        <v>23910</v>
      </c>
      <c r="V145">
        <v>1</v>
      </c>
      <c r="W145" t="s">
        <v>35</v>
      </c>
      <c r="X145" t="s">
        <v>43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</row>
    <row r="146" spans="1:36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f>FLOOR(Table1_2[[#This Row],[MonthlyIncome]],1000)</f>
        <v>4000</v>
      </c>
      <c r="T146">
        <v>4668</v>
      </c>
      <c r="U146">
        <v>22812</v>
      </c>
      <c r="V146">
        <v>0</v>
      </c>
      <c r="W146" t="s">
        <v>35</v>
      </c>
      <c r="X146" t="s">
        <v>43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</row>
    <row r="147" spans="1:36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f>FLOOR(Table1_2[[#This Row],[MonthlyIncome]],1000)</f>
        <v>3000</v>
      </c>
      <c r="T147">
        <v>3204</v>
      </c>
      <c r="U147">
        <v>10415</v>
      </c>
      <c r="V147">
        <v>5</v>
      </c>
      <c r="W147" t="s">
        <v>35</v>
      </c>
      <c r="X147" t="s">
        <v>43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</row>
    <row r="148" spans="1:36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f>FLOOR(Table1_2[[#This Row],[MonthlyIncome]],1000)</f>
        <v>2000</v>
      </c>
      <c r="T148">
        <v>2720</v>
      </c>
      <c r="U148">
        <v>11162</v>
      </c>
      <c r="V148">
        <v>0</v>
      </c>
      <c r="W148" t="s">
        <v>35</v>
      </c>
      <c r="X148" t="s">
        <v>43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</row>
    <row r="149" spans="1:36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f>FLOOR(Table1_2[[#This Row],[MonthlyIncome]],1000)</f>
        <v>17000</v>
      </c>
      <c r="T149">
        <v>17181</v>
      </c>
      <c r="U149">
        <v>12888</v>
      </c>
      <c r="V149">
        <v>4</v>
      </c>
      <c r="W149" t="s">
        <v>35</v>
      </c>
      <c r="X149" t="s">
        <v>43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</row>
    <row r="150" spans="1:36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f>FLOOR(Table1_2[[#This Row],[MonthlyIncome]],1000)</f>
        <v>2000</v>
      </c>
      <c r="T150">
        <v>2238</v>
      </c>
      <c r="U150">
        <v>6961</v>
      </c>
      <c r="V150">
        <v>2</v>
      </c>
      <c r="W150" t="s">
        <v>35</v>
      </c>
      <c r="X150" t="s">
        <v>43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</row>
    <row r="151" spans="1:36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f>FLOOR(Table1_2[[#This Row],[MonthlyIncome]],1000)</f>
        <v>1000</v>
      </c>
      <c r="T151">
        <v>1483</v>
      </c>
      <c r="U151">
        <v>16102</v>
      </c>
      <c r="V151">
        <v>1</v>
      </c>
      <c r="W151" t="s">
        <v>35</v>
      </c>
      <c r="X151" t="s">
        <v>43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</row>
    <row r="152" spans="1:36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f>FLOOR(Table1_2[[#This Row],[MonthlyIncome]],1000)</f>
        <v>5000</v>
      </c>
      <c r="T152">
        <v>5605</v>
      </c>
      <c r="U152">
        <v>8504</v>
      </c>
      <c r="V152">
        <v>1</v>
      </c>
      <c r="W152" t="s">
        <v>35</v>
      </c>
      <c r="X152" t="s">
        <v>43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</row>
    <row r="153" spans="1:36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f>FLOOR(Table1_2[[#This Row],[MonthlyIncome]],1000)</f>
        <v>7000</v>
      </c>
      <c r="T153">
        <v>7295</v>
      </c>
      <c r="U153">
        <v>11439</v>
      </c>
      <c r="V153">
        <v>1</v>
      </c>
      <c r="W153" t="s">
        <v>35</v>
      </c>
      <c r="X153" t="s">
        <v>43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</row>
    <row r="154" spans="1:36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f>FLOOR(Table1_2[[#This Row],[MonthlyIncome]],1000)</f>
        <v>2000</v>
      </c>
      <c r="T154">
        <v>2306</v>
      </c>
      <c r="U154">
        <v>16047</v>
      </c>
      <c r="V154">
        <v>2</v>
      </c>
      <c r="W154" t="s">
        <v>35</v>
      </c>
      <c r="X154" t="s">
        <v>35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</row>
    <row r="155" spans="1:36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f>FLOOR(Table1_2[[#This Row],[MonthlyIncome]],1000)</f>
        <v>2000</v>
      </c>
      <c r="T155">
        <v>2348</v>
      </c>
      <c r="U155">
        <v>10901</v>
      </c>
      <c r="V155">
        <v>8</v>
      </c>
      <c r="W155" t="s">
        <v>35</v>
      </c>
      <c r="X155" t="s">
        <v>43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</row>
    <row r="156" spans="1:36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f>FLOOR(Table1_2[[#This Row],[MonthlyIncome]],1000)</f>
        <v>8000</v>
      </c>
      <c r="T156">
        <v>8998</v>
      </c>
      <c r="U156">
        <v>15589</v>
      </c>
      <c r="V156">
        <v>1</v>
      </c>
      <c r="W156" t="s">
        <v>35</v>
      </c>
      <c r="X156" t="s">
        <v>43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</row>
    <row r="157" spans="1:36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f>FLOOR(Table1_2[[#This Row],[MonthlyIncome]],1000)</f>
        <v>4000</v>
      </c>
      <c r="T157">
        <v>4319</v>
      </c>
      <c r="U157">
        <v>26283</v>
      </c>
      <c r="V157">
        <v>1</v>
      </c>
      <c r="W157" t="s">
        <v>35</v>
      </c>
      <c r="X157" t="s">
        <v>43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</row>
    <row r="158" spans="1:36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f>FLOOR(Table1_2[[#This Row],[MonthlyIncome]],1000)</f>
        <v>6000</v>
      </c>
      <c r="T158">
        <v>6132</v>
      </c>
      <c r="U158">
        <v>13983</v>
      </c>
      <c r="V158">
        <v>2</v>
      </c>
      <c r="W158" t="s">
        <v>35</v>
      </c>
      <c r="X158" t="s">
        <v>43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f>FLOOR(Table1_2[[#This Row],[MonthlyIncome]],1000)</f>
        <v>3000</v>
      </c>
      <c r="T159">
        <v>3346</v>
      </c>
      <c r="U159">
        <v>11873</v>
      </c>
      <c r="V159">
        <v>4</v>
      </c>
      <c r="W159" t="s">
        <v>35</v>
      </c>
      <c r="X159" t="s">
        <v>35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</row>
    <row r="160" spans="1:36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f>FLOOR(Table1_2[[#This Row],[MonthlyIncome]],1000)</f>
        <v>10000</v>
      </c>
      <c r="T160">
        <v>10855</v>
      </c>
      <c r="U160">
        <v>8552</v>
      </c>
      <c r="V160">
        <v>7</v>
      </c>
      <c r="W160" t="s">
        <v>35</v>
      </c>
      <c r="X160" t="s">
        <v>43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</row>
    <row r="161" spans="1:36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f>FLOOR(Table1_2[[#This Row],[MonthlyIncome]],1000)</f>
        <v>2000</v>
      </c>
      <c r="T161">
        <v>2231</v>
      </c>
      <c r="U161">
        <v>11314</v>
      </c>
      <c r="V161">
        <v>6</v>
      </c>
      <c r="W161" t="s">
        <v>35</v>
      </c>
      <c r="X161" t="s">
        <v>43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</row>
    <row r="162" spans="1:36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f>FLOOR(Table1_2[[#This Row],[MonthlyIncome]],1000)</f>
        <v>2000</v>
      </c>
      <c r="T162">
        <v>2323</v>
      </c>
      <c r="U162">
        <v>11992</v>
      </c>
      <c r="V162">
        <v>1</v>
      </c>
      <c r="W162" t="s">
        <v>35</v>
      </c>
      <c r="X162" t="s">
        <v>43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</row>
    <row r="163" spans="1:36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f>FLOOR(Table1_2[[#This Row],[MonthlyIncome]],1000)</f>
        <v>2000</v>
      </c>
      <c r="T163">
        <v>2024</v>
      </c>
      <c r="U163">
        <v>5970</v>
      </c>
      <c r="V163">
        <v>6</v>
      </c>
      <c r="W163" t="s">
        <v>35</v>
      </c>
      <c r="X163" t="s">
        <v>43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</row>
    <row r="164" spans="1:36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f>FLOOR(Table1_2[[#This Row],[MonthlyIncome]],1000)</f>
        <v>2000</v>
      </c>
      <c r="T164">
        <v>2713</v>
      </c>
      <c r="U164">
        <v>6672</v>
      </c>
      <c r="V164">
        <v>1</v>
      </c>
      <c r="W164" t="s">
        <v>35</v>
      </c>
      <c r="X164" t="s">
        <v>43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</row>
    <row r="165" spans="1:36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f>FLOOR(Table1_2[[#This Row],[MonthlyIncome]],1000)</f>
        <v>9000</v>
      </c>
      <c r="T165">
        <v>9439</v>
      </c>
      <c r="U165">
        <v>23402</v>
      </c>
      <c r="V165">
        <v>3</v>
      </c>
      <c r="W165" t="s">
        <v>35</v>
      </c>
      <c r="X165" t="s">
        <v>35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</row>
    <row r="166" spans="1:36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f>FLOOR(Table1_2[[#This Row],[MonthlyIncome]],1000)</f>
        <v>2000</v>
      </c>
      <c r="T166">
        <v>2566</v>
      </c>
      <c r="U166">
        <v>25326</v>
      </c>
      <c r="V166">
        <v>1</v>
      </c>
      <c r="W166" t="s">
        <v>35</v>
      </c>
      <c r="X166" t="s">
        <v>35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</row>
    <row r="167" spans="1:36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f>FLOOR(Table1_2[[#This Row],[MonthlyIncome]],1000)</f>
        <v>19000</v>
      </c>
      <c r="T167">
        <v>19926</v>
      </c>
      <c r="U167">
        <v>17053</v>
      </c>
      <c r="V167">
        <v>3</v>
      </c>
      <c r="W167" t="s">
        <v>35</v>
      </c>
      <c r="X167" t="s">
        <v>43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</row>
    <row r="168" spans="1:36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f>FLOOR(Table1_2[[#This Row],[MonthlyIncome]],1000)</f>
        <v>2000</v>
      </c>
      <c r="T168">
        <v>2451</v>
      </c>
      <c r="U168">
        <v>4609</v>
      </c>
      <c r="V168">
        <v>4</v>
      </c>
      <c r="W168" t="s">
        <v>35</v>
      </c>
      <c r="X168" t="s">
        <v>43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</row>
    <row r="169" spans="1:36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f>FLOOR(Table1_2[[#This Row],[MonthlyIncome]],1000)</f>
        <v>9000</v>
      </c>
      <c r="T169">
        <v>9419</v>
      </c>
      <c r="U169">
        <v>8053</v>
      </c>
      <c r="V169">
        <v>2</v>
      </c>
      <c r="W169" t="s">
        <v>35</v>
      </c>
      <c r="X169" t="s">
        <v>43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</row>
    <row r="170" spans="1:36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f>FLOOR(Table1_2[[#This Row],[MonthlyIncome]],1000)</f>
        <v>8000</v>
      </c>
      <c r="T170">
        <v>8686</v>
      </c>
      <c r="U170">
        <v>12930</v>
      </c>
      <c r="V170">
        <v>4</v>
      </c>
      <c r="W170" t="s">
        <v>35</v>
      </c>
      <c r="X170" t="s">
        <v>43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</row>
    <row r="171" spans="1:36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f>FLOOR(Table1_2[[#This Row],[MonthlyIncome]],1000)</f>
        <v>3000</v>
      </c>
      <c r="T171">
        <v>3038</v>
      </c>
      <c r="U171">
        <v>12430</v>
      </c>
      <c r="V171">
        <v>3</v>
      </c>
      <c r="W171" t="s">
        <v>35</v>
      </c>
      <c r="X171" t="s">
        <v>43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</row>
    <row r="172" spans="1:36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f>FLOOR(Table1_2[[#This Row],[MonthlyIncome]],1000)</f>
        <v>3000</v>
      </c>
      <c r="T172">
        <v>3058</v>
      </c>
      <c r="U172">
        <v>13364</v>
      </c>
      <c r="V172">
        <v>0</v>
      </c>
      <c r="W172" t="s">
        <v>35</v>
      </c>
      <c r="X172" t="s">
        <v>35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</row>
    <row r="173" spans="1:36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f>FLOOR(Table1_2[[#This Row],[MonthlyIncome]],1000)</f>
        <v>2000</v>
      </c>
      <c r="T173">
        <v>2325</v>
      </c>
      <c r="U173">
        <v>20989</v>
      </c>
      <c r="V173">
        <v>0</v>
      </c>
      <c r="W173" t="s">
        <v>35</v>
      </c>
      <c r="X173" t="s">
        <v>43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f>FLOOR(Table1_2[[#This Row],[MonthlyIncome]],1000)</f>
        <v>2000</v>
      </c>
      <c r="T174">
        <v>2088</v>
      </c>
      <c r="U174">
        <v>15062</v>
      </c>
      <c r="V174">
        <v>4</v>
      </c>
      <c r="W174" t="s">
        <v>35</v>
      </c>
      <c r="X174" t="s">
        <v>43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</row>
    <row r="175" spans="1:36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f>FLOOR(Table1_2[[#This Row],[MonthlyIncome]],1000)</f>
        <v>3000</v>
      </c>
      <c r="T175">
        <v>3072</v>
      </c>
      <c r="U175">
        <v>11012</v>
      </c>
      <c r="V175">
        <v>1</v>
      </c>
      <c r="W175" t="s">
        <v>35</v>
      </c>
      <c r="X175" t="s">
        <v>43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</row>
    <row r="176" spans="1:36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f>FLOOR(Table1_2[[#This Row],[MonthlyIncome]],1000)</f>
        <v>5000</v>
      </c>
      <c r="T176">
        <v>5006</v>
      </c>
      <c r="U176">
        <v>6319</v>
      </c>
      <c r="V176">
        <v>4</v>
      </c>
      <c r="W176" t="s">
        <v>35</v>
      </c>
      <c r="X176" t="s">
        <v>35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</row>
    <row r="177" spans="1:36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f>FLOOR(Table1_2[[#This Row],[MonthlyIncome]],1000)</f>
        <v>4000</v>
      </c>
      <c r="T177">
        <v>4257</v>
      </c>
      <c r="U177">
        <v>13939</v>
      </c>
      <c r="V177">
        <v>4</v>
      </c>
      <c r="W177" t="s">
        <v>35</v>
      </c>
      <c r="X177" t="s">
        <v>35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</row>
    <row r="178" spans="1:36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f>FLOOR(Table1_2[[#This Row],[MonthlyIncome]],1000)</f>
        <v>2000</v>
      </c>
      <c r="T178">
        <v>2500</v>
      </c>
      <c r="U178">
        <v>10515</v>
      </c>
      <c r="V178">
        <v>0</v>
      </c>
      <c r="W178" t="s">
        <v>35</v>
      </c>
      <c r="X178" t="s">
        <v>43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</row>
    <row r="179" spans="1:36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f>FLOOR(Table1_2[[#This Row],[MonthlyIncome]],1000)</f>
        <v>1000</v>
      </c>
      <c r="T179">
        <v>1102</v>
      </c>
      <c r="U179">
        <v>9241</v>
      </c>
      <c r="V179">
        <v>1</v>
      </c>
      <c r="W179" t="s">
        <v>35</v>
      </c>
      <c r="X179" t="s">
        <v>43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</row>
    <row r="180" spans="1:36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f>FLOOR(Table1_2[[#This Row],[MonthlyIncome]],1000)</f>
        <v>10000</v>
      </c>
      <c r="T180">
        <v>10453</v>
      </c>
      <c r="U180">
        <v>2137</v>
      </c>
      <c r="V180">
        <v>1</v>
      </c>
      <c r="W180" t="s">
        <v>35</v>
      </c>
      <c r="X180" t="s">
        <v>43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</row>
    <row r="181" spans="1:36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f>FLOOR(Table1_2[[#This Row],[MonthlyIncome]],1000)</f>
        <v>2000</v>
      </c>
      <c r="T181">
        <v>2288</v>
      </c>
      <c r="U181">
        <v>6319</v>
      </c>
      <c r="V181">
        <v>1</v>
      </c>
      <c r="W181" t="s">
        <v>35</v>
      </c>
      <c r="X181" t="s">
        <v>43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</row>
    <row r="182" spans="1:36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f>FLOOR(Table1_2[[#This Row],[MonthlyIncome]],1000)</f>
        <v>3000</v>
      </c>
      <c r="T182">
        <v>3929</v>
      </c>
      <c r="U182">
        <v>6984</v>
      </c>
      <c r="V182">
        <v>8</v>
      </c>
      <c r="W182" t="s">
        <v>35</v>
      </c>
      <c r="X182" t="s">
        <v>35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</row>
    <row r="183" spans="1:36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f>FLOOR(Table1_2[[#This Row],[MonthlyIncome]],1000)</f>
        <v>2000</v>
      </c>
      <c r="T183">
        <v>2311</v>
      </c>
      <c r="U183">
        <v>5711</v>
      </c>
      <c r="V183">
        <v>2</v>
      </c>
      <c r="W183" t="s">
        <v>35</v>
      </c>
      <c r="X183" t="s">
        <v>43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</row>
    <row r="184" spans="1:36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f>FLOOR(Table1_2[[#This Row],[MonthlyIncome]],1000)</f>
        <v>3000</v>
      </c>
      <c r="T184">
        <v>3140</v>
      </c>
      <c r="U184">
        <v>21728</v>
      </c>
      <c r="V184">
        <v>1</v>
      </c>
      <c r="W184" t="s">
        <v>35</v>
      </c>
      <c r="X184" t="s">
        <v>35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</row>
    <row r="185" spans="1:36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f>FLOOR(Table1_2[[#This Row],[MonthlyIncome]],1000)</f>
        <v>3000</v>
      </c>
      <c r="T185">
        <v>3690</v>
      </c>
      <c r="U185">
        <v>3425</v>
      </c>
      <c r="V185">
        <v>2</v>
      </c>
      <c r="W185" t="s">
        <v>35</v>
      </c>
      <c r="X185" t="s">
        <v>43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</row>
    <row r="186" spans="1:36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f>FLOOR(Table1_2[[#This Row],[MonthlyIncome]],1000)</f>
        <v>4000</v>
      </c>
      <c r="T186">
        <v>4450</v>
      </c>
      <c r="U186">
        <v>26250</v>
      </c>
      <c r="V186">
        <v>1</v>
      </c>
      <c r="W186" t="s">
        <v>35</v>
      </c>
      <c r="X186" t="s">
        <v>43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</row>
    <row r="187" spans="1:36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f>FLOOR(Table1_2[[#This Row],[MonthlyIncome]],1000)</f>
        <v>2000</v>
      </c>
      <c r="T187">
        <v>2756</v>
      </c>
      <c r="U187">
        <v>4673</v>
      </c>
      <c r="V187">
        <v>1</v>
      </c>
      <c r="W187" t="s">
        <v>35</v>
      </c>
      <c r="X187" t="s">
        <v>43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</row>
    <row r="188" spans="1:36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f>FLOOR(Table1_2[[#This Row],[MonthlyIncome]],1000)</f>
        <v>19000</v>
      </c>
      <c r="T188">
        <v>19033</v>
      </c>
      <c r="U188">
        <v>6499</v>
      </c>
      <c r="V188">
        <v>1</v>
      </c>
      <c r="W188" t="s">
        <v>35</v>
      </c>
      <c r="X188" t="s">
        <v>43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</row>
    <row r="189" spans="1:36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f>FLOOR(Table1_2[[#This Row],[MonthlyIncome]],1000)</f>
        <v>18000</v>
      </c>
      <c r="T189">
        <v>18722</v>
      </c>
      <c r="U189">
        <v>13339</v>
      </c>
      <c r="V189">
        <v>8</v>
      </c>
      <c r="W189" t="s">
        <v>35</v>
      </c>
      <c r="X189" t="s">
        <v>43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</row>
    <row r="190" spans="1:36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f>FLOOR(Table1_2[[#This Row],[MonthlyIncome]],1000)</f>
        <v>9000</v>
      </c>
      <c r="T190">
        <v>9547</v>
      </c>
      <c r="U190">
        <v>14074</v>
      </c>
      <c r="V190">
        <v>1</v>
      </c>
      <c r="W190" t="s">
        <v>35</v>
      </c>
      <c r="X190" t="s">
        <v>43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</row>
    <row r="191" spans="1:36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f>FLOOR(Table1_2[[#This Row],[MonthlyIncome]],1000)</f>
        <v>13000</v>
      </c>
      <c r="T191">
        <v>13734</v>
      </c>
      <c r="U191">
        <v>7192</v>
      </c>
      <c r="V191">
        <v>3</v>
      </c>
      <c r="W191" t="s">
        <v>35</v>
      </c>
      <c r="X191" t="s">
        <v>43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</row>
    <row r="192" spans="1:36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f>FLOOR(Table1_2[[#This Row],[MonthlyIncome]],1000)</f>
        <v>19000</v>
      </c>
      <c r="T192">
        <v>19999</v>
      </c>
      <c r="U192">
        <v>5678</v>
      </c>
      <c r="V192">
        <v>0</v>
      </c>
      <c r="W192" t="s">
        <v>35</v>
      </c>
      <c r="X192" t="s">
        <v>43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</row>
    <row r="193" spans="1:36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f>FLOOR(Table1_2[[#This Row],[MonthlyIncome]],1000)</f>
        <v>2000</v>
      </c>
      <c r="T193">
        <v>2279</v>
      </c>
      <c r="U193">
        <v>11781</v>
      </c>
      <c r="V193">
        <v>1</v>
      </c>
      <c r="W193" t="s">
        <v>35</v>
      </c>
      <c r="X193" t="s">
        <v>43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</row>
    <row r="194" spans="1:36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f>FLOOR(Table1_2[[#This Row],[MonthlyIncome]],1000)</f>
        <v>5000</v>
      </c>
      <c r="T194">
        <v>5916</v>
      </c>
      <c r="U194">
        <v>15497</v>
      </c>
      <c r="V194">
        <v>3</v>
      </c>
      <c r="W194" t="s">
        <v>35</v>
      </c>
      <c r="X194" t="s">
        <v>35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</row>
    <row r="195" spans="1:36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f>FLOOR(Table1_2[[#This Row],[MonthlyIncome]],1000)</f>
        <v>2000</v>
      </c>
      <c r="T195">
        <v>2089</v>
      </c>
      <c r="U195">
        <v>5228</v>
      </c>
      <c r="V195">
        <v>4</v>
      </c>
      <c r="W195" t="s">
        <v>35</v>
      </c>
      <c r="X195" t="s">
        <v>43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</row>
    <row r="196" spans="1:36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f>FLOOR(Table1_2[[#This Row],[MonthlyIncome]],1000)</f>
        <v>16000</v>
      </c>
      <c r="T196">
        <v>16792</v>
      </c>
      <c r="U196">
        <v>20462</v>
      </c>
      <c r="V196">
        <v>9</v>
      </c>
      <c r="W196" t="s">
        <v>35</v>
      </c>
      <c r="X196" t="s">
        <v>43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</row>
    <row r="197" spans="1:36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f>FLOOR(Table1_2[[#This Row],[MonthlyIncome]],1000)</f>
        <v>3000</v>
      </c>
      <c r="T197">
        <v>3564</v>
      </c>
      <c r="U197">
        <v>22977</v>
      </c>
      <c r="V197">
        <v>1</v>
      </c>
      <c r="W197" t="s">
        <v>35</v>
      </c>
      <c r="X197" t="s">
        <v>35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</row>
    <row r="198" spans="1:36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f>FLOOR(Table1_2[[#This Row],[MonthlyIncome]],1000)</f>
        <v>4000</v>
      </c>
      <c r="T198">
        <v>4425</v>
      </c>
      <c r="U198">
        <v>15986</v>
      </c>
      <c r="V198">
        <v>5</v>
      </c>
      <c r="W198" t="s">
        <v>35</v>
      </c>
      <c r="X198" t="s">
        <v>43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</row>
    <row r="199" spans="1:36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f>FLOOR(Table1_2[[#This Row],[MonthlyIncome]],1000)</f>
        <v>5000</v>
      </c>
      <c r="T199">
        <v>5265</v>
      </c>
      <c r="U199">
        <v>16439</v>
      </c>
      <c r="V199">
        <v>2</v>
      </c>
      <c r="W199" t="s">
        <v>35</v>
      </c>
      <c r="X199" t="s">
        <v>43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</row>
    <row r="200" spans="1:36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f>FLOOR(Table1_2[[#This Row],[MonthlyIncome]],1000)</f>
        <v>6000</v>
      </c>
      <c r="T200">
        <v>6553</v>
      </c>
      <c r="U200">
        <v>7259</v>
      </c>
      <c r="V200">
        <v>9</v>
      </c>
      <c r="W200" t="s">
        <v>35</v>
      </c>
      <c r="X200" t="s">
        <v>43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</row>
    <row r="201" spans="1:36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f>FLOOR(Table1_2[[#This Row],[MonthlyIncome]],1000)</f>
        <v>6000</v>
      </c>
      <c r="T201">
        <v>6261</v>
      </c>
      <c r="U201">
        <v>4185</v>
      </c>
      <c r="V201">
        <v>3</v>
      </c>
      <c r="W201" t="s">
        <v>35</v>
      </c>
      <c r="X201" t="s">
        <v>43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</row>
    <row r="202" spans="1:36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f>FLOOR(Table1_2[[#This Row],[MonthlyIncome]],1000)</f>
        <v>4000</v>
      </c>
      <c r="T202">
        <v>4298</v>
      </c>
      <c r="U202">
        <v>9679</v>
      </c>
      <c r="V202">
        <v>5</v>
      </c>
      <c r="W202" t="s">
        <v>35</v>
      </c>
      <c r="X202" t="s">
        <v>43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</row>
    <row r="203" spans="1:36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f>FLOOR(Table1_2[[#This Row],[MonthlyIncome]],1000)</f>
        <v>6000</v>
      </c>
      <c r="T203">
        <v>6804</v>
      </c>
      <c r="U203">
        <v>23793</v>
      </c>
      <c r="V203">
        <v>1</v>
      </c>
      <c r="W203" t="s">
        <v>35</v>
      </c>
      <c r="X203" t="s">
        <v>35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</row>
    <row r="204" spans="1:36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f>FLOOR(Table1_2[[#This Row],[MonthlyIncome]],1000)</f>
        <v>3000</v>
      </c>
      <c r="T204">
        <v>3815</v>
      </c>
      <c r="U204">
        <v>5972</v>
      </c>
      <c r="V204">
        <v>1</v>
      </c>
      <c r="W204" t="s">
        <v>35</v>
      </c>
      <c r="X204" t="s">
        <v>35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</row>
    <row r="205" spans="1:36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f>FLOOR(Table1_2[[#This Row],[MonthlyIncome]],1000)</f>
        <v>2000</v>
      </c>
      <c r="T205">
        <v>2741</v>
      </c>
      <c r="U205">
        <v>16523</v>
      </c>
      <c r="V205">
        <v>8</v>
      </c>
      <c r="W205" t="s">
        <v>35</v>
      </c>
      <c r="X205" t="s">
        <v>35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</row>
    <row r="206" spans="1:36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f>FLOOR(Table1_2[[#This Row],[MonthlyIncome]],1000)</f>
        <v>6000</v>
      </c>
      <c r="T206">
        <v>6673</v>
      </c>
      <c r="U206">
        <v>11354</v>
      </c>
      <c r="V206">
        <v>7</v>
      </c>
      <c r="W206" t="s">
        <v>35</v>
      </c>
      <c r="X206" t="s">
        <v>35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</row>
    <row r="207" spans="1:36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f>FLOOR(Table1_2[[#This Row],[MonthlyIncome]],1000)</f>
        <v>7000</v>
      </c>
      <c r="T207">
        <v>7639</v>
      </c>
      <c r="U207">
        <v>24525</v>
      </c>
      <c r="V207">
        <v>1</v>
      </c>
      <c r="W207" t="s">
        <v>35</v>
      </c>
      <c r="X207" t="s">
        <v>43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</row>
    <row r="208" spans="1:36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f>FLOOR(Table1_2[[#This Row],[MonthlyIncome]],1000)</f>
        <v>2000</v>
      </c>
      <c r="T208">
        <v>2328</v>
      </c>
      <c r="U208">
        <v>12392</v>
      </c>
      <c r="V208">
        <v>1</v>
      </c>
      <c r="W208" t="s">
        <v>35</v>
      </c>
      <c r="X208" t="s">
        <v>35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</row>
    <row r="209" spans="1:36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f>FLOOR(Table1_2[[#This Row],[MonthlyIncome]],1000)</f>
        <v>2000</v>
      </c>
      <c r="T209">
        <v>2153</v>
      </c>
      <c r="U209">
        <v>7703</v>
      </c>
      <c r="V209">
        <v>1</v>
      </c>
      <c r="W209" t="s">
        <v>35</v>
      </c>
      <c r="X209" t="s">
        <v>43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</row>
    <row r="210" spans="1:36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f>FLOOR(Table1_2[[#This Row],[MonthlyIncome]],1000)</f>
        <v>4000</v>
      </c>
      <c r="T210">
        <v>4876</v>
      </c>
      <c r="U210">
        <v>14242</v>
      </c>
      <c r="V210">
        <v>9</v>
      </c>
      <c r="W210" t="s">
        <v>35</v>
      </c>
      <c r="X210" t="s">
        <v>43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</row>
    <row r="211" spans="1:36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f>FLOOR(Table1_2[[#This Row],[MonthlyIncome]],1000)</f>
        <v>9000</v>
      </c>
      <c r="T211">
        <v>9396</v>
      </c>
      <c r="U211">
        <v>12368</v>
      </c>
      <c r="V211">
        <v>7</v>
      </c>
      <c r="W211" t="s">
        <v>35</v>
      </c>
      <c r="X211" t="s">
        <v>43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</row>
    <row r="212" spans="1:36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f>FLOOR(Table1_2[[#This Row],[MonthlyIncome]],1000)</f>
        <v>10000</v>
      </c>
      <c r="T212">
        <v>10400</v>
      </c>
      <c r="U212">
        <v>25812</v>
      </c>
      <c r="V212">
        <v>1</v>
      </c>
      <c r="W212" t="s">
        <v>35</v>
      </c>
      <c r="X212" t="s">
        <v>43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</row>
    <row r="213" spans="1:36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f>FLOOR(Table1_2[[#This Row],[MonthlyIncome]],1000)</f>
        <v>8000</v>
      </c>
      <c r="T213">
        <v>8474</v>
      </c>
      <c r="U213">
        <v>20925</v>
      </c>
      <c r="V213">
        <v>1</v>
      </c>
      <c r="W213" t="s">
        <v>35</v>
      </c>
      <c r="X213" t="s">
        <v>43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</row>
    <row r="214" spans="1:36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f>FLOOR(Table1_2[[#This Row],[MonthlyIncome]],1000)</f>
        <v>9000</v>
      </c>
      <c r="T214">
        <v>9981</v>
      </c>
      <c r="U214">
        <v>12916</v>
      </c>
      <c r="V214">
        <v>1</v>
      </c>
      <c r="W214" t="s">
        <v>35</v>
      </c>
      <c r="X214" t="s">
        <v>43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</row>
    <row r="215" spans="1:36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f>FLOOR(Table1_2[[#This Row],[MonthlyIncome]],1000)</f>
        <v>12000</v>
      </c>
      <c r="T215">
        <v>12490</v>
      </c>
      <c r="U215">
        <v>15736</v>
      </c>
      <c r="V215">
        <v>5</v>
      </c>
      <c r="W215" t="s">
        <v>35</v>
      </c>
      <c r="X215" t="s">
        <v>43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</row>
    <row r="216" spans="1:36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f>FLOOR(Table1_2[[#This Row],[MonthlyIncome]],1000)</f>
        <v>2000</v>
      </c>
      <c r="T216">
        <v>2657</v>
      </c>
      <c r="U216">
        <v>8556</v>
      </c>
      <c r="V216">
        <v>5</v>
      </c>
      <c r="W216" t="s">
        <v>35</v>
      </c>
      <c r="X216" t="s">
        <v>35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</row>
    <row r="217" spans="1:36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f>FLOOR(Table1_2[[#This Row],[MonthlyIncome]],1000)</f>
        <v>13000</v>
      </c>
      <c r="T217">
        <v>13591</v>
      </c>
      <c r="U217">
        <v>14674</v>
      </c>
      <c r="V217">
        <v>3</v>
      </c>
      <c r="W217" t="s">
        <v>35</v>
      </c>
      <c r="X217" t="s">
        <v>35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</row>
    <row r="218" spans="1:36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f>FLOOR(Table1_2[[#This Row],[MonthlyIncome]],1000)</f>
        <v>6000</v>
      </c>
      <c r="T218">
        <v>6696</v>
      </c>
      <c r="U218">
        <v>22967</v>
      </c>
      <c r="V218">
        <v>5</v>
      </c>
      <c r="W218" t="s">
        <v>35</v>
      </c>
      <c r="X218" t="s">
        <v>43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</row>
    <row r="219" spans="1:36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f>FLOOR(Table1_2[[#This Row],[MonthlyIncome]],1000)</f>
        <v>2000</v>
      </c>
      <c r="T219">
        <v>2058</v>
      </c>
      <c r="U219">
        <v>19757</v>
      </c>
      <c r="V219">
        <v>0</v>
      </c>
      <c r="W219" t="s">
        <v>35</v>
      </c>
      <c r="X219" t="s">
        <v>43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</row>
    <row r="220" spans="1:36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f>FLOOR(Table1_2[[#This Row],[MonthlyIncome]],1000)</f>
        <v>8000</v>
      </c>
      <c r="T220">
        <v>8865</v>
      </c>
      <c r="U220">
        <v>16840</v>
      </c>
      <c r="V220">
        <v>6</v>
      </c>
      <c r="W220" t="s">
        <v>35</v>
      </c>
      <c r="X220" t="s">
        <v>43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</row>
    <row r="221" spans="1:36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f>FLOOR(Table1_2[[#This Row],[MonthlyIncome]],1000)</f>
        <v>5000</v>
      </c>
      <c r="T221">
        <v>5940</v>
      </c>
      <c r="U221">
        <v>17011</v>
      </c>
      <c r="V221">
        <v>2</v>
      </c>
      <c r="W221" t="s">
        <v>35</v>
      </c>
      <c r="X221" t="s">
        <v>43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</row>
    <row r="222" spans="1:36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f>FLOOR(Table1_2[[#This Row],[MonthlyIncome]],1000)</f>
        <v>5000</v>
      </c>
      <c r="T222">
        <v>5914</v>
      </c>
      <c r="U222">
        <v>9945</v>
      </c>
      <c r="V222">
        <v>8</v>
      </c>
      <c r="W222" t="s">
        <v>35</v>
      </c>
      <c r="X222" t="s">
        <v>43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</row>
    <row r="223" spans="1:36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f>FLOOR(Table1_2[[#This Row],[MonthlyIncome]],1000)</f>
        <v>2000</v>
      </c>
      <c r="T223">
        <v>2622</v>
      </c>
      <c r="U223">
        <v>13248</v>
      </c>
      <c r="V223">
        <v>6</v>
      </c>
      <c r="W223" t="s">
        <v>35</v>
      </c>
      <c r="X223" t="s">
        <v>43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</row>
    <row r="224" spans="1:36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f>FLOOR(Table1_2[[#This Row],[MonthlyIncome]],1000)</f>
        <v>12000</v>
      </c>
      <c r="T224">
        <v>12185</v>
      </c>
      <c r="U224">
        <v>10056</v>
      </c>
      <c r="V224">
        <v>1</v>
      </c>
      <c r="W224" t="s">
        <v>35</v>
      </c>
      <c r="X224" t="s">
        <v>35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</row>
    <row r="225" spans="1:36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f>FLOOR(Table1_2[[#This Row],[MonthlyIncome]],1000)</f>
        <v>10000</v>
      </c>
      <c r="T225">
        <v>10609</v>
      </c>
      <c r="U225">
        <v>9647</v>
      </c>
      <c r="V225">
        <v>0</v>
      </c>
      <c r="W225" t="s">
        <v>35</v>
      </c>
      <c r="X225" t="s">
        <v>43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</row>
    <row r="226" spans="1:36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f>FLOOR(Table1_2[[#This Row],[MonthlyIncome]],1000)</f>
        <v>4000</v>
      </c>
      <c r="T226">
        <v>4345</v>
      </c>
      <c r="U226">
        <v>4381</v>
      </c>
      <c r="V226">
        <v>0</v>
      </c>
      <c r="W226" t="s">
        <v>35</v>
      </c>
      <c r="X226" t="s">
        <v>43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</row>
    <row r="227" spans="1:36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f>FLOOR(Table1_2[[#This Row],[MonthlyIncome]],1000)</f>
        <v>2000</v>
      </c>
      <c r="T227">
        <v>2177</v>
      </c>
      <c r="U227">
        <v>8456</v>
      </c>
      <c r="V227">
        <v>3</v>
      </c>
      <c r="W227" t="s">
        <v>35</v>
      </c>
      <c r="X227" t="s">
        <v>43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</row>
    <row r="228" spans="1:36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f>FLOOR(Table1_2[[#This Row],[MonthlyIncome]],1000)</f>
        <v>2000</v>
      </c>
      <c r="T228">
        <v>2793</v>
      </c>
      <c r="U228">
        <v>2539</v>
      </c>
      <c r="V228">
        <v>4</v>
      </c>
      <c r="W228" t="s">
        <v>35</v>
      </c>
      <c r="X228" t="s">
        <v>43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</row>
    <row r="229" spans="1:36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f>FLOOR(Table1_2[[#This Row],[MonthlyIncome]],1000)</f>
        <v>7000</v>
      </c>
      <c r="T229">
        <v>7918</v>
      </c>
      <c r="U229">
        <v>6599</v>
      </c>
      <c r="V229">
        <v>1</v>
      </c>
      <c r="W229" t="s">
        <v>35</v>
      </c>
      <c r="X229" t="s">
        <v>43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</row>
    <row r="230" spans="1:36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f>FLOOR(Table1_2[[#This Row],[MonthlyIncome]],1000)</f>
        <v>8000</v>
      </c>
      <c r="T230">
        <v>8789</v>
      </c>
      <c r="U230">
        <v>9096</v>
      </c>
      <c r="V230">
        <v>1</v>
      </c>
      <c r="W230" t="s">
        <v>35</v>
      </c>
      <c r="X230" t="s">
        <v>43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</row>
    <row r="231" spans="1:36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f>FLOOR(Table1_2[[#This Row],[MonthlyIncome]],1000)</f>
        <v>2000</v>
      </c>
      <c r="T231">
        <v>2389</v>
      </c>
      <c r="U231">
        <v>14961</v>
      </c>
      <c r="V231">
        <v>1</v>
      </c>
      <c r="W231" t="s">
        <v>35</v>
      </c>
      <c r="X231" t="s">
        <v>35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</row>
    <row r="232" spans="1:36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f>FLOOR(Table1_2[[#This Row],[MonthlyIncome]],1000)</f>
        <v>3000</v>
      </c>
      <c r="T232">
        <v>3212</v>
      </c>
      <c r="U232">
        <v>3300</v>
      </c>
      <c r="V232">
        <v>7</v>
      </c>
      <c r="W232" t="s">
        <v>35</v>
      </c>
      <c r="X232" t="s">
        <v>43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</row>
    <row r="233" spans="1:36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f>FLOOR(Table1_2[[#This Row],[MonthlyIncome]],1000)</f>
        <v>19000</v>
      </c>
      <c r="T233">
        <v>19232</v>
      </c>
      <c r="U233">
        <v>4933</v>
      </c>
      <c r="V233">
        <v>1</v>
      </c>
      <c r="W233" t="s">
        <v>35</v>
      </c>
      <c r="X233" t="s">
        <v>43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</row>
    <row r="234" spans="1:36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f>FLOOR(Table1_2[[#This Row],[MonthlyIncome]],1000)</f>
        <v>2000</v>
      </c>
      <c r="T234">
        <v>2267</v>
      </c>
      <c r="U234">
        <v>25657</v>
      </c>
      <c r="V234">
        <v>8</v>
      </c>
      <c r="W234" t="s">
        <v>35</v>
      </c>
      <c r="X234" t="s">
        <v>43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f>FLOOR(Table1_2[[#This Row],[MonthlyIncome]],1000)</f>
        <v>19000</v>
      </c>
      <c r="T235">
        <v>19517</v>
      </c>
      <c r="U235">
        <v>24118</v>
      </c>
      <c r="V235">
        <v>3</v>
      </c>
      <c r="W235" t="s">
        <v>35</v>
      </c>
      <c r="X235" t="s">
        <v>43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</row>
    <row r="236" spans="1:36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f>FLOOR(Table1_2[[#This Row],[MonthlyIncome]],1000)</f>
        <v>2000</v>
      </c>
      <c r="T236">
        <v>2436</v>
      </c>
      <c r="U236">
        <v>22149</v>
      </c>
      <c r="V236">
        <v>5</v>
      </c>
      <c r="W236" t="s">
        <v>35</v>
      </c>
      <c r="X236" t="s">
        <v>35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</row>
    <row r="237" spans="1:36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f>FLOOR(Table1_2[[#This Row],[MonthlyIncome]],1000)</f>
        <v>16000</v>
      </c>
      <c r="T237">
        <v>16064</v>
      </c>
      <c r="U237">
        <v>7744</v>
      </c>
      <c r="V237">
        <v>5</v>
      </c>
      <c r="W237" t="s">
        <v>35</v>
      </c>
      <c r="X237" t="s">
        <v>35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</row>
    <row r="238" spans="1:36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f>FLOOR(Table1_2[[#This Row],[MonthlyIncome]],1000)</f>
        <v>2000</v>
      </c>
      <c r="T238">
        <v>2707</v>
      </c>
      <c r="U238">
        <v>21509</v>
      </c>
      <c r="V238">
        <v>7</v>
      </c>
      <c r="W238" t="s">
        <v>35</v>
      </c>
      <c r="X238" t="s">
        <v>43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</row>
    <row r="239" spans="1:36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f>FLOOR(Table1_2[[#This Row],[MonthlyIncome]],1000)</f>
        <v>19000</v>
      </c>
      <c r="T239">
        <v>19068</v>
      </c>
      <c r="U239">
        <v>21030</v>
      </c>
      <c r="V239">
        <v>1</v>
      </c>
      <c r="W239" t="s">
        <v>35</v>
      </c>
      <c r="X239" t="s">
        <v>35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</row>
    <row r="240" spans="1:36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f>FLOOR(Table1_2[[#This Row],[MonthlyIncome]],1000)</f>
        <v>3000</v>
      </c>
      <c r="T240">
        <v>3931</v>
      </c>
      <c r="U240">
        <v>20990</v>
      </c>
      <c r="V240">
        <v>2</v>
      </c>
      <c r="W240" t="s">
        <v>35</v>
      </c>
      <c r="X240" t="s">
        <v>43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</row>
    <row r="241" spans="1:36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f>FLOOR(Table1_2[[#This Row],[MonthlyIncome]],1000)</f>
        <v>3000</v>
      </c>
      <c r="T241">
        <v>3730</v>
      </c>
      <c r="U241">
        <v>9571</v>
      </c>
      <c r="V241">
        <v>0</v>
      </c>
      <c r="W241" t="s">
        <v>35</v>
      </c>
      <c r="X241" t="s">
        <v>35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</row>
    <row r="242" spans="1:36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f>FLOOR(Table1_2[[#This Row],[MonthlyIncome]],1000)</f>
        <v>2000</v>
      </c>
      <c r="T242">
        <v>2232</v>
      </c>
      <c r="U242">
        <v>15417</v>
      </c>
      <c r="V242">
        <v>7</v>
      </c>
      <c r="W242" t="s">
        <v>35</v>
      </c>
      <c r="X242" t="s">
        <v>43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</row>
    <row r="243" spans="1:36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f>FLOOR(Table1_2[[#This Row],[MonthlyIncome]],1000)</f>
        <v>4000</v>
      </c>
      <c r="T243">
        <v>4465</v>
      </c>
      <c r="U243">
        <v>12069</v>
      </c>
      <c r="V243">
        <v>0</v>
      </c>
      <c r="W243" t="s">
        <v>35</v>
      </c>
      <c r="X243" t="s">
        <v>43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</row>
    <row r="244" spans="1:36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f>FLOOR(Table1_2[[#This Row],[MonthlyIncome]],1000)</f>
        <v>3000</v>
      </c>
      <c r="T244">
        <v>3072</v>
      </c>
      <c r="U244">
        <v>19877</v>
      </c>
      <c r="V244">
        <v>2</v>
      </c>
      <c r="W244" t="s">
        <v>35</v>
      </c>
      <c r="X244" t="s">
        <v>43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</row>
    <row r="245" spans="1:36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f>FLOOR(Table1_2[[#This Row],[MonthlyIncome]],1000)</f>
        <v>3000</v>
      </c>
      <c r="T245">
        <v>3319</v>
      </c>
      <c r="U245">
        <v>24447</v>
      </c>
      <c r="V245">
        <v>1</v>
      </c>
      <c r="W245" t="s">
        <v>35</v>
      </c>
      <c r="X245" t="s">
        <v>43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</row>
    <row r="246" spans="1:36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f>FLOOR(Table1_2[[#This Row],[MonthlyIncome]],1000)</f>
        <v>19000</v>
      </c>
      <c r="T246">
        <v>19202</v>
      </c>
      <c r="U246">
        <v>15970</v>
      </c>
      <c r="V246">
        <v>0</v>
      </c>
      <c r="W246" t="s">
        <v>35</v>
      </c>
      <c r="X246" t="s">
        <v>43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</row>
    <row r="247" spans="1:36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f>FLOOR(Table1_2[[#This Row],[MonthlyIncome]],1000)</f>
        <v>13000</v>
      </c>
      <c r="T247">
        <v>13675</v>
      </c>
      <c r="U247">
        <v>13523</v>
      </c>
      <c r="V247">
        <v>9</v>
      </c>
      <c r="W247" t="s">
        <v>35</v>
      </c>
      <c r="X247" t="s">
        <v>43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</row>
    <row r="248" spans="1:36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f>FLOOR(Table1_2[[#This Row],[MonthlyIncome]],1000)</f>
        <v>2000</v>
      </c>
      <c r="T248">
        <v>2911</v>
      </c>
      <c r="U248">
        <v>14776</v>
      </c>
      <c r="V248">
        <v>1</v>
      </c>
      <c r="W248" t="s">
        <v>35</v>
      </c>
      <c r="X248" t="s">
        <v>43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</row>
    <row r="249" spans="1:36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f>FLOOR(Table1_2[[#This Row],[MonthlyIncome]],1000)</f>
        <v>5000</v>
      </c>
      <c r="T249">
        <v>5957</v>
      </c>
      <c r="U249">
        <v>23687</v>
      </c>
      <c r="V249">
        <v>6</v>
      </c>
      <c r="W249" t="s">
        <v>35</v>
      </c>
      <c r="X249" t="s">
        <v>43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</row>
    <row r="250" spans="1:36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f>FLOOR(Table1_2[[#This Row],[MonthlyIncome]],1000)</f>
        <v>3000</v>
      </c>
      <c r="T250">
        <v>3920</v>
      </c>
      <c r="U250">
        <v>18697</v>
      </c>
      <c r="V250">
        <v>2</v>
      </c>
      <c r="W250" t="s">
        <v>35</v>
      </c>
      <c r="X250" t="s">
        <v>43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</row>
    <row r="251" spans="1:36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f>FLOOR(Table1_2[[#This Row],[MonthlyIncome]],1000)</f>
        <v>6000</v>
      </c>
      <c r="T251">
        <v>6434</v>
      </c>
      <c r="U251">
        <v>5118</v>
      </c>
      <c r="V251">
        <v>4</v>
      </c>
      <c r="W251" t="s">
        <v>35</v>
      </c>
      <c r="X251" t="s">
        <v>43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</row>
    <row r="252" spans="1:36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f>FLOOR(Table1_2[[#This Row],[MonthlyIncome]],1000)</f>
        <v>10000</v>
      </c>
      <c r="T252">
        <v>10048</v>
      </c>
      <c r="U252">
        <v>22573</v>
      </c>
      <c r="V252">
        <v>6</v>
      </c>
      <c r="W252" t="s">
        <v>35</v>
      </c>
      <c r="X252" t="s">
        <v>43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</row>
    <row r="253" spans="1:36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f>FLOOR(Table1_2[[#This Row],[MonthlyIncome]],1000)</f>
        <v>10000</v>
      </c>
      <c r="T253">
        <v>10938</v>
      </c>
      <c r="U253">
        <v>6420</v>
      </c>
      <c r="V253">
        <v>0</v>
      </c>
      <c r="W253" t="s">
        <v>35</v>
      </c>
      <c r="X253" t="s">
        <v>43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</row>
    <row r="254" spans="1:36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f>FLOOR(Table1_2[[#This Row],[MonthlyIncome]],1000)</f>
        <v>2000</v>
      </c>
      <c r="T254">
        <v>2340</v>
      </c>
      <c r="U254">
        <v>22673</v>
      </c>
      <c r="V254">
        <v>1</v>
      </c>
      <c r="W254" t="s">
        <v>35</v>
      </c>
      <c r="X254" t="s">
        <v>43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</row>
    <row r="255" spans="1:36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f>FLOOR(Table1_2[[#This Row],[MonthlyIncome]],1000)</f>
        <v>6000</v>
      </c>
      <c r="T255">
        <v>6545</v>
      </c>
      <c r="U255">
        <v>23016</v>
      </c>
      <c r="V255">
        <v>3</v>
      </c>
      <c r="W255" t="s">
        <v>35</v>
      </c>
      <c r="X255" t="s">
        <v>35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</row>
    <row r="256" spans="1:36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f>FLOOR(Table1_2[[#This Row],[MonthlyIncome]],1000)</f>
        <v>6000</v>
      </c>
      <c r="T256">
        <v>6931</v>
      </c>
      <c r="U256">
        <v>10732</v>
      </c>
      <c r="V256">
        <v>2</v>
      </c>
      <c r="W256" t="s">
        <v>35</v>
      </c>
      <c r="X256" t="s">
        <v>43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</row>
    <row r="257" spans="1:36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f>FLOOR(Table1_2[[#This Row],[MonthlyIncome]],1000)</f>
        <v>4000</v>
      </c>
      <c r="T257">
        <v>4898</v>
      </c>
      <c r="U257">
        <v>7505</v>
      </c>
      <c r="V257">
        <v>0</v>
      </c>
      <c r="W257" t="s">
        <v>35</v>
      </c>
      <c r="X257" t="s">
        <v>43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</row>
    <row r="258" spans="1:36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f>FLOOR(Table1_2[[#This Row],[MonthlyIncome]],1000)</f>
        <v>2000</v>
      </c>
      <c r="T258">
        <v>2593</v>
      </c>
      <c r="U258">
        <v>8007</v>
      </c>
      <c r="V258">
        <v>0</v>
      </c>
      <c r="W258" t="s">
        <v>35</v>
      </c>
      <c r="X258" t="s">
        <v>35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</row>
    <row r="259" spans="1:36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f>FLOOR(Table1_2[[#This Row],[MonthlyIncome]],1000)</f>
        <v>19000</v>
      </c>
      <c r="T259">
        <v>19436</v>
      </c>
      <c r="U259">
        <v>5949</v>
      </c>
      <c r="V259">
        <v>0</v>
      </c>
      <c r="W259" t="s">
        <v>35</v>
      </c>
      <c r="X259" t="s">
        <v>43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</row>
    <row r="260" spans="1:36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f>FLOOR(Table1_2[[#This Row],[MonthlyIncome]],1000)</f>
        <v>2000</v>
      </c>
      <c r="T260">
        <v>2723</v>
      </c>
      <c r="U260">
        <v>23231</v>
      </c>
      <c r="V260">
        <v>1</v>
      </c>
      <c r="W260" t="s">
        <v>35</v>
      </c>
      <c r="X260" t="s">
        <v>43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</row>
    <row r="261" spans="1:36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f>FLOOR(Table1_2[[#This Row],[MonthlyIncome]],1000)</f>
        <v>3000</v>
      </c>
      <c r="T261">
        <v>3479</v>
      </c>
      <c r="U261">
        <v>11652</v>
      </c>
      <c r="V261">
        <v>0</v>
      </c>
      <c r="W261" t="s">
        <v>35</v>
      </c>
      <c r="X261" t="s">
        <v>43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</row>
    <row r="262" spans="1:36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f>FLOOR(Table1_2[[#This Row],[MonthlyIncome]],1000)</f>
        <v>2000</v>
      </c>
      <c r="T262">
        <v>2794</v>
      </c>
      <c r="U262">
        <v>26062</v>
      </c>
      <c r="V262">
        <v>1</v>
      </c>
      <c r="W262" t="s">
        <v>35</v>
      </c>
      <c r="X262" t="s">
        <v>43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</row>
    <row r="263" spans="1:36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f>FLOOR(Table1_2[[#This Row],[MonthlyIncome]],1000)</f>
        <v>5000</v>
      </c>
      <c r="T263">
        <v>5249</v>
      </c>
      <c r="U263">
        <v>19682</v>
      </c>
      <c r="V263">
        <v>3</v>
      </c>
      <c r="W263" t="s">
        <v>35</v>
      </c>
      <c r="X263" t="s">
        <v>43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</row>
    <row r="264" spans="1:36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f>FLOOR(Table1_2[[#This Row],[MonthlyIncome]],1000)</f>
        <v>2000</v>
      </c>
      <c r="T264">
        <v>2176</v>
      </c>
      <c r="U264">
        <v>19737</v>
      </c>
      <c r="V264">
        <v>4</v>
      </c>
      <c r="W264" t="s">
        <v>35</v>
      </c>
      <c r="X264" t="s">
        <v>43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</row>
    <row r="265" spans="1:36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f>FLOOR(Table1_2[[#This Row],[MonthlyIncome]],1000)</f>
        <v>16000</v>
      </c>
      <c r="T265">
        <v>16872</v>
      </c>
      <c r="U265">
        <v>14977</v>
      </c>
      <c r="V265">
        <v>3</v>
      </c>
      <c r="W265" t="s">
        <v>35</v>
      </c>
      <c r="X265" t="s">
        <v>35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</row>
    <row r="266" spans="1:36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f>FLOOR(Table1_2[[#This Row],[MonthlyIncome]],1000)</f>
        <v>3000</v>
      </c>
      <c r="T266">
        <v>3485</v>
      </c>
      <c r="U266">
        <v>14935</v>
      </c>
      <c r="V266">
        <v>2</v>
      </c>
      <c r="W266" t="s">
        <v>35</v>
      </c>
      <c r="X266" t="s">
        <v>43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f>FLOOR(Table1_2[[#This Row],[MonthlyIncome]],1000)</f>
        <v>6000</v>
      </c>
      <c r="T267">
        <v>6644</v>
      </c>
      <c r="U267">
        <v>3687</v>
      </c>
      <c r="V267">
        <v>2</v>
      </c>
      <c r="W267" t="s">
        <v>35</v>
      </c>
      <c r="X267" t="s">
        <v>43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</row>
    <row r="268" spans="1:36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f>FLOOR(Table1_2[[#This Row],[MonthlyIncome]],1000)</f>
        <v>5000</v>
      </c>
      <c r="T268">
        <v>5582</v>
      </c>
      <c r="U268">
        <v>14408</v>
      </c>
      <c r="V268">
        <v>0</v>
      </c>
      <c r="W268" t="s">
        <v>35</v>
      </c>
      <c r="X268" t="s">
        <v>43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</row>
    <row r="269" spans="1:36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f>FLOOR(Table1_2[[#This Row],[MonthlyIncome]],1000)</f>
        <v>4000</v>
      </c>
      <c r="T269">
        <v>4000</v>
      </c>
      <c r="U269">
        <v>18384</v>
      </c>
      <c r="V269">
        <v>1</v>
      </c>
      <c r="W269" t="s">
        <v>35</v>
      </c>
      <c r="X269" t="s">
        <v>43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</row>
    <row r="270" spans="1:36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f>FLOOR(Table1_2[[#This Row],[MonthlyIncome]],1000)</f>
        <v>13000</v>
      </c>
      <c r="T270">
        <v>13496</v>
      </c>
      <c r="U270">
        <v>7501</v>
      </c>
      <c r="V270">
        <v>0</v>
      </c>
      <c r="W270" t="s">
        <v>35</v>
      </c>
      <c r="X270" t="s">
        <v>35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</row>
    <row r="271" spans="1:36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f>FLOOR(Table1_2[[#This Row],[MonthlyIncome]],1000)</f>
        <v>3000</v>
      </c>
      <c r="T271">
        <v>3210</v>
      </c>
      <c r="U271">
        <v>20251</v>
      </c>
      <c r="V271">
        <v>0</v>
      </c>
      <c r="W271" t="s">
        <v>35</v>
      </c>
      <c r="X271" t="s">
        <v>43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</row>
    <row r="272" spans="1:36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f>FLOOR(Table1_2[[#This Row],[MonthlyIncome]],1000)</f>
        <v>19000</v>
      </c>
      <c r="T272">
        <v>19045</v>
      </c>
      <c r="U272">
        <v>18938</v>
      </c>
      <c r="V272">
        <v>0</v>
      </c>
      <c r="W272" t="s">
        <v>35</v>
      </c>
      <c r="X272" t="s">
        <v>35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</row>
    <row r="273" spans="1:36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f>FLOOR(Table1_2[[#This Row],[MonthlyIncome]],1000)</f>
        <v>11000</v>
      </c>
      <c r="T273">
        <v>11849</v>
      </c>
      <c r="U273">
        <v>10268</v>
      </c>
      <c r="V273">
        <v>1</v>
      </c>
      <c r="W273" t="s">
        <v>35</v>
      </c>
      <c r="X273" t="s">
        <v>35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</row>
    <row r="274" spans="1:36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f>FLOOR(Table1_2[[#This Row],[MonthlyIncome]],1000)</f>
        <v>2000</v>
      </c>
      <c r="T274">
        <v>2070</v>
      </c>
      <c r="U274">
        <v>2613</v>
      </c>
      <c r="V274">
        <v>1</v>
      </c>
      <c r="W274" t="s">
        <v>35</v>
      </c>
      <c r="X274" t="s">
        <v>43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</row>
    <row r="275" spans="1:36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f>FLOOR(Table1_2[[#This Row],[MonthlyIncome]],1000)</f>
        <v>6000</v>
      </c>
      <c r="T275">
        <v>6502</v>
      </c>
      <c r="U275">
        <v>22825</v>
      </c>
      <c r="V275">
        <v>4</v>
      </c>
      <c r="W275" t="s">
        <v>35</v>
      </c>
      <c r="X275" t="s">
        <v>43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</row>
    <row r="276" spans="1:36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f>FLOOR(Table1_2[[#This Row],[MonthlyIncome]],1000)</f>
        <v>3000</v>
      </c>
      <c r="T276">
        <v>3230</v>
      </c>
      <c r="U276">
        <v>10531</v>
      </c>
      <c r="V276">
        <v>1</v>
      </c>
      <c r="W276" t="s">
        <v>35</v>
      </c>
      <c r="X276" t="s">
        <v>43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</row>
    <row r="277" spans="1:36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f>FLOOR(Table1_2[[#This Row],[MonthlyIncome]],1000)</f>
        <v>13000</v>
      </c>
      <c r="T277">
        <v>13603</v>
      </c>
      <c r="U277">
        <v>11677</v>
      </c>
      <c r="V277">
        <v>2</v>
      </c>
      <c r="W277" t="s">
        <v>35</v>
      </c>
      <c r="X277" t="s">
        <v>35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</row>
    <row r="278" spans="1:36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f>FLOOR(Table1_2[[#This Row],[MonthlyIncome]],1000)</f>
        <v>11000</v>
      </c>
      <c r="T278">
        <v>11996</v>
      </c>
      <c r="U278">
        <v>19100</v>
      </c>
      <c r="V278">
        <v>7</v>
      </c>
      <c r="W278" t="s">
        <v>35</v>
      </c>
      <c r="X278" t="s">
        <v>43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</row>
    <row r="279" spans="1:36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f>FLOOR(Table1_2[[#This Row],[MonthlyIncome]],1000)</f>
        <v>5000</v>
      </c>
      <c r="T279">
        <v>5605</v>
      </c>
      <c r="U279">
        <v>19191</v>
      </c>
      <c r="V279">
        <v>1</v>
      </c>
      <c r="W279" t="s">
        <v>35</v>
      </c>
      <c r="X279" t="s">
        <v>35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</row>
    <row r="280" spans="1:36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f>FLOOR(Table1_2[[#This Row],[MonthlyIncome]],1000)</f>
        <v>6000</v>
      </c>
      <c r="T280">
        <v>6397</v>
      </c>
      <c r="U280">
        <v>26767</v>
      </c>
      <c r="V280">
        <v>1</v>
      </c>
      <c r="W280" t="s">
        <v>35</v>
      </c>
      <c r="X280" t="s">
        <v>43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</row>
    <row r="281" spans="1:36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f>FLOOR(Table1_2[[#This Row],[MonthlyIncome]],1000)</f>
        <v>19000</v>
      </c>
      <c r="T281">
        <v>19144</v>
      </c>
      <c r="U281">
        <v>15815</v>
      </c>
      <c r="V281">
        <v>3</v>
      </c>
      <c r="W281" t="s">
        <v>35</v>
      </c>
      <c r="X281" t="s">
        <v>43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</row>
    <row r="282" spans="1:36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f>FLOOR(Table1_2[[#This Row],[MonthlyIncome]],1000)</f>
        <v>17000</v>
      </c>
      <c r="T282">
        <v>17584</v>
      </c>
      <c r="U282">
        <v>21016</v>
      </c>
      <c r="V282">
        <v>3</v>
      </c>
      <c r="W282" t="s">
        <v>35</v>
      </c>
      <c r="X282" t="s">
        <v>35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</row>
    <row r="283" spans="1:36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f>FLOOR(Table1_2[[#This Row],[MonthlyIncome]],1000)</f>
        <v>4000</v>
      </c>
      <c r="T283">
        <v>4907</v>
      </c>
      <c r="U283">
        <v>24532</v>
      </c>
      <c r="V283">
        <v>1</v>
      </c>
      <c r="W283" t="s">
        <v>35</v>
      </c>
      <c r="X283" t="s">
        <v>43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</row>
    <row r="284" spans="1:36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f>FLOOR(Table1_2[[#This Row],[MonthlyIncome]],1000)</f>
        <v>4000</v>
      </c>
      <c r="T284">
        <v>4554</v>
      </c>
      <c r="U284">
        <v>20260</v>
      </c>
      <c r="V284">
        <v>1</v>
      </c>
      <c r="W284" t="s">
        <v>35</v>
      </c>
      <c r="X284" t="s">
        <v>43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</row>
    <row r="285" spans="1:36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f>FLOOR(Table1_2[[#This Row],[MonthlyIncome]],1000)</f>
        <v>5000</v>
      </c>
      <c r="T285">
        <v>5415</v>
      </c>
      <c r="U285">
        <v>15972</v>
      </c>
      <c r="V285">
        <v>3</v>
      </c>
      <c r="W285" t="s">
        <v>35</v>
      </c>
      <c r="X285" t="s">
        <v>35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</row>
    <row r="286" spans="1:36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f>FLOOR(Table1_2[[#This Row],[MonthlyIncome]],1000)</f>
        <v>4000</v>
      </c>
      <c r="T286">
        <v>4741</v>
      </c>
      <c r="U286">
        <v>22722</v>
      </c>
      <c r="V286">
        <v>1</v>
      </c>
      <c r="W286" t="s">
        <v>35</v>
      </c>
      <c r="X286" t="s">
        <v>35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</row>
    <row r="287" spans="1:36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f>FLOOR(Table1_2[[#This Row],[MonthlyIncome]],1000)</f>
        <v>2000</v>
      </c>
      <c r="T287">
        <v>2115</v>
      </c>
      <c r="U287">
        <v>15881</v>
      </c>
      <c r="V287">
        <v>1</v>
      </c>
      <c r="W287" t="s">
        <v>35</v>
      </c>
      <c r="X287" t="s">
        <v>43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</row>
    <row r="288" spans="1:36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f>FLOOR(Table1_2[[#This Row],[MonthlyIncome]],1000)</f>
        <v>3000</v>
      </c>
      <c r="T288">
        <v>3161</v>
      </c>
      <c r="U288">
        <v>19920</v>
      </c>
      <c r="V288">
        <v>3</v>
      </c>
      <c r="W288" t="s">
        <v>35</v>
      </c>
      <c r="X288" t="s">
        <v>35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</row>
    <row r="289" spans="1:36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f>FLOOR(Table1_2[[#This Row],[MonthlyIncome]],1000)</f>
        <v>5000</v>
      </c>
      <c r="T289">
        <v>5745</v>
      </c>
      <c r="U289">
        <v>18899</v>
      </c>
      <c r="V289">
        <v>9</v>
      </c>
      <c r="W289" t="s">
        <v>35</v>
      </c>
      <c r="X289" t="s">
        <v>43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</row>
    <row r="290" spans="1:36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f>FLOOR(Table1_2[[#This Row],[MonthlyIncome]],1000)</f>
        <v>2000</v>
      </c>
      <c r="T290">
        <v>2373</v>
      </c>
      <c r="U290">
        <v>14180</v>
      </c>
      <c r="V290">
        <v>2</v>
      </c>
      <c r="W290" t="s">
        <v>35</v>
      </c>
      <c r="X290" t="s">
        <v>35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</row>
    <row r="291" spans="1:36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f>FLOOR(Table1_2[[#This Row],[MonthlyIncome]],1000)</f>
        <v>3000</v>
      </c>
      <c r="T291">
        <v>3310</v>
      </c>
      <c r="U291">
        <v>4488</v>
      </c>
      <c r="V291">
        <v>1</v>
      </c>
      <c r="W291" t="s">
        <v>35</v>
      </c>
      <c r="X291" t="s">
        <v>43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</row>
    <row r="292" spans="1:36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f>FLOOR(Table1_2[[#This Row],[MonthlyIncome]],1000)</f>
        <v>18000</v>
      </c>
      <c r="T292">
        <v>18665</v>
      </c>
      <c r="U292">
        <v>25594</v>
      </c>
      <c r="V292">
        <v>9</v>
      </c>
      <c r="W292" t="s">
        <v>35</v>
      </c>
      <c r="X292" t="s">
        <v>35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</row>
    <row r="293" spans="1:36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f>FLOOR(Table1_2[[#This Row],[MonthlyIncome]],1000)</f>
        <v>4000</v>
      </c>
      <c r="T293">
        <v>4485</v>
      </c>
      <c r="U293">
        <v>26285</v>
      </c>
      <c r="V293">
        <v>4</v>
      </c>
      <c r="W293" t="s">
        <v>35</v>
      </c>
      <c r="X293" t="s">
        <v>43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</row>
    <row r="294" spans="1:36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f>FLOOR(Table1_2[[#This Row],[MonthlyIncome]],1000)</f>
        <v>2000</v>
      </c>
      <c r="T294">
        <v>2789</v>
      </c>
      <c r="U294">
        <v>3909</v>
      </c>
      <c r="V294">
        <v>1</v>
      </c>
      <c r="W294" t="s">
        <v>35</v>
      </c>
      <c r="X294" t="s">
        <v>43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</row>
    <row r="295" spans="1:36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f>FLOOR(Table1_2[[#This Row],[MonthlyIncome]],1000)</f>
        <v>5000</v>
      </c>
      <c r="T295">
        <v>5828</v>
      </c>
      <c r="U295">
        <v>8450</v>
      </c>
      <c r="V295">
        <v>1</v>
      </c>
      <c r="W295" t="s">
        <v>35</v>
      </c>
      <c r="X295" t="s">
        <v>35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</row>
    <row r="296" spans="1:36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f>FLOOR(Table1_2[[#This Row],[MonthlyIncome]],1000)</f>
        <v>2000</v>
      </c>
      <c r="T296">
        <v>2326</v>
      </c>
      <c r="U296">
        <v>11411</v>
      </c>
      <c r="V296">
        <v>1</v>
      </c>
      <c r="W296" t="s">
        <v>35</v>
      </c>
      <c r="X296" t="s">
        <v>35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</row>
    <row r="297" spans="1:36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f>FLOOR(Table1_2[[#This Row],[MonthlyIncome]],1000)</f>
        <v>13000</v>
      </c>
      <c r="T297">
        <v>13525</v>
      </c>
      <c r="U297">
        <v>14864</v>
      </c>
      <c r="V297">
        <v>5</v>
      </c>
      <c r="W297" t="s">
        <v>35</v>
      </c>
      <c r="X297" t="s">
        <v>43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</row>
    <row r="298" spans="1:36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f>FLOOR(Table1_2[[#This Row],[MonthlyIncome]],1000)</f>
        <v>1000</v>
      </c>
      <c r="T298">
        <v>1420</v>
      </c>
      <c r="U298">
        <v>25233</v>
      </c>
      <c r="V298">
        <v>1</v>
      </c>
      <c r="W298" t="s">
        <v>35</v>
      </c>
      <c r="X298" t="s">
        <v>43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</row>
    <row r="299" spans="1:36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f>FLOOR(Table1_2[[#This Row],[MonthlyIncome]],1000)</f>
        <v>8000</v>
      </c>
      <c r="T299">
        <v>8020</v>
      </c>
      <c r="U299">
        <v>5100</v>
      </c>
      <c r="V299">
        <v>0</v>
      </c>
      <c r="W299" t="s">
        <v>35</v>
      </c>
      <c r="X299" t="s">
        <v>43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</row>
    <row r="300" spans="1:36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f>FLOOR(Table1_2[[#This Row],[MonthlyIncome]],1000)</f>
        <v>3000</v>
      </c>
      <c r="T300">
        <v>3688</v>
      </c>
      <c r="U300">
        <v>7122</v>
      </c>
      <c r="V300">
        <v>4</v>
      </c>
      <c r="W300" t="s">
        <v>35</v>
      </c>
      <c r="X300" t="s">
        <v>43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</row>
    <row r="301" spans="1:36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f>FLOOR(Table1_2[[#This Row],[MonthlyIncome]],1000)</f>
        <v>5000</v>
      </c>
      <c r="T301">
        <v>5482</v>
      </c>
      <c r="U301">
        <v>16321</v>
      </c>
      <c r="V301">
        <v>5</v>
      </c>
      <c r="W301" t="s">
        <v>35</v>
      </c>
      <c r="X301" t="s">
        <v>43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</row>
    <row r="302" spans="1:36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f>FLOOR(Table1_2[[#This Row],[MonthlyIncome]],1000)</f>
        <v>16000</v>
      </c>
      <c r="T302">
        <v>16015</v>
      </c>
      <c r="U302">
        <v>15896</v>
      </c>
      <c r="V302">
        <v>1</v>
      </c>
      <c r="W302" t="s">
        <v>35</v>
      </c>
      <c r="X302" t="s">
        <v>43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</row>
    <row r="303" spans="1:36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f>FLOOR(Table1_2[[#This Row],[MonthlyIncome]],1000)</f>
        <v>1000</v>
      </c>
      <c r="T303">
        <v>1200</v>
      </c>
      <c r="U303">
        <v>9724</v>
      </c>
      <c r="V303">
        <v>1</v>
      </c>
      <c r="W303" t="s">
        <v>35</v>
      </c>
      <c r="X303" t="s">
        <v>43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f>FLOOR(Table1_2[[#This Row],[MonthlyIncome]],1000)</f>
        <v>5000</v>
      </c>
      <c r="T304">
        <v>5661</v>
      </c>
      <c r="U304">
        <v>4824</v>
      </c>
      <c r="V304">
        <v>0</v>
      </c>
      <c r="W304" t="s">
        <v>35</v>
      </c>
      <c r="X304" t="s">
        <v>43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</row>
    <row r="305" spans="1:36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f>FLOOR(Table1_2[[#This Row],[MonthlyIncome]],1000)</f>
        <v>6000</v>
      </c>
      <c r="T305">
        <v>6929</v>
      </c>
      <c r="U305">
        <v>12241</v>
      </c>
      <c r="V305">
        <v>4</v>
      </c>
      <c r="W305" t="s">
        <v>35</v>
      </c>
      <c r="X305" t="s">
        <v>43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</row>
    <row r="306" spans="1:36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f>FLOOR(Table1_2[[#This Row],[MonthlyIncome]],1000)</f>
        <v>9000</v>
      </c>
      <c r="T306">
        <v>9613</v>
      </c>
      <c r="U306">
        <v>10942</v>
      </c>
      <c r="V306">
        <v>0</v>
      </c>
      <c r="W306" t="s">
        <v>35</v>
      </c>
      <c r="X306" t="s">
        <v>43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</row>
    <row r="307" spans="1:36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f>FLOOR(Table1_2[[#This Row],[MonthlyIncome]],1000)</f>
        <v>5000</v>
      </c>
      <c r="T307">
        <v>5674</v>
      </c>
      <c r="U307">
        <v>6927</v>
      </c>
      <c r="V307">
        <v>7</v>
      </c>
      <c r="W307" t="s">
        <v>35</v>
      </c>
      <c r="X307" t="s">
        <v>43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</row>
    <row r="308" spans="1:36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f>FLOOR(Table1_2[[#This Row],[MonthlyIncome]],1000)</f>
        <v>5000</v>
      </c>
      <c r="T308">
        <v>5484</v>
      </c>
      <c r="U308">
        <v>16985</v>
      </c>
      <c r="V308">
        <v>1</v>
      </c>
      <c r="W308" t="s">
        <v>35</v>
      </c>
      <c r="X308" t="s">
        <v>43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</row>
    <row r="309" spans="1:36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f>FLOOR(Table1_2[[#This Row],[MonthlyIncome]],1000)</f>
        <v>12000</v>
      </c>
      <c r="T309">
        <v>12061</v>
      </c>
      <c r="U309">
        <v>26707</v>
      </c>
      <c r="V309">
        <v>3</v>
      </c>
      <c r="W309" t="s">
        <v>35</v>
      </c>
      <c r="X309" t="s">
        <v>43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</row>
    <row r="310" spans="1:36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f>FLOOR(Table1_2[[#This Row],[MonthlyIncome]],1000)</f>
        <v>5000</v>
      </c>
      <c r="T310">
        <v>5660</v>
      </c>
      <c r="U310">
        <v>17056</v>
      </c>
      <c r="V310">
        <v>2</v>
      </c>
      <c r="W310" t="s">
        <v>35</v>
      </c>
      <c r="X310" t="s">
        <v>35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</row>
    <row r="311" spans="1:36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f>FLOOR(Table1_2[[#This Row],[MonthlyIncome]],1000)</f>
        <v>4000</v>
      </c>
      <c r="T311">
        <v>4821</v>
      </c>
      <c r="U311">
        <v>10077</v>
      </c>
      <c r="V311">
        <v>0</v>
      </c>
      <c r="W311" t="s">
        <v>35</v>
      </c>
      <c r="X311" t="s">
        <v>35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</row>
    <row r="312" spans="1:36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f>FLOOR(Table1_2[[#This Row],[MonthlyIncome]],1000)</f>
        <v>6000</v>
      </c>
      <c r="T312">
        <v>6410</v>
      </c>
      <c r="U312">
        <v>17822</v>
      </c>
      <c r="V312">
        <v>3</v>
      </c>
      <c r="W312" t="s">
        <v>35</v>
      </c>
      <c r="X312" t="s">
        <v>43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</row>
    <row r="313" spans="1:36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f>FLOOR(Table1_2[[#This Row],[MonthlyIncome]],1000)</f>
        <v>5000</v>
      </c>
      <c r="T313">
        <v>5210</v>
      </c>
      <c r="U313">
        <v>20308</v>
      </c>
      <c r="V313">
        <v>1</v>
      </c>
      <c r="W313" t="s">
        <v>35</v>
      </c>
      <c r="X313" t="s">
        <v>43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</row>
    <row r="314" spans="1:36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f>FLOOR(Table1_2[[#This Row],[MonthlyIncome]],1000)</f>
        <v>2000</v>
      </c>
      <c r="T314">
        <v>2695</v>
      </c>
      <c r="U314">
        <v>7747</v>
      </c>
      <c r="V314">
        <v>0</v>
      </c>
      <c r="W314" t="s">
        <v>35</v>
      </c>
      <c r="X314" t="s">
        <v>35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</row>
    <row r="315" spans="1:36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f>FLOOR(Table1_2[[#This Row],[MonthlyIncome]],1000)</f>
        <v>11000</v>
      </c>
      <c r="T315">
        <v>11878</v>
      </c>
      <c r="U315">
        <v>23364</v>
      </c>
      <c r="V315">
        <v>6</v>
      </c>
      <c r="W315" t="s">
        <v>35</v>
      </c>
      <c r="X315" t="s">
        <v>43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</row>
    <row r="316" spans="1:36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f>FLOOR(Table1_2[[#This Row],[MonthlyIncome]],1000)</f>
        <v>17000</v>
      </c>
      <c r="T316">
        <v>17068</v>
      </c>
      <c r="U316">
        <v>5355</v>
      </c>
      <c r="V316">
        <v>1</v>
      </c>
      <c r="W316" t="s">
        <v>35</v>
      </c>
      <c r="X316" t="s">
        <v>35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</row>
    <row r="317" spans="1:36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f>FLOOR(Table1_2[[#This Row],[MonthlyIncome]],1000)</f>
        <v>2000</v>
      </c>
      <c r="T317">
        <v>2455</v>
      </c>
      <c r="U317">
        <v>10675</v>
      </c>
      <c r="V317">
        <v>0</v>
      </c>
      <c r="W317" t="s">
        <v>35</v>
      </c>
      <c r="X317" t="s">
        <v>43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</row>
    <row r="318" spans="1:36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f>FLOOR(Table1_2[[#This Row],[MonthlyIncome]],1000)</f>
        <v>13000</v>
      </c>
      <c r="T318">
        <v>13964</v>
      </c>
      <c r="U318">
        <v>17810</v>
      </c>
      <c r="V318">
        <v>7</v>
      </c>
      <c r="W318" t="s">
        <v>35</v>
      </c>
      <c r="X318" t="s">
        <v>35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</row>
    <row r="319" spans="1:36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f>FLOOR(Table1_2[[#This Row],[MonthlyIncome]],1000)</f>
        <v>4000</v>
      </c>
      <c r="T319">
        <v>4941</v>
      </c>
      <c r="U319">
        <v>17747</v>
      </c>
      <c r="V319">
        <v>2</v>
      </c>
      <c r="W319" t="s">
        <v>35</v>
      </c>
      <c r="X319" t="s">
        <v>43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</row>
    <row r="320" spans="1:36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f>FLOOR(Table1_2[[#This Row],[MonthlyIncome]],1000)</f>
        <v>2000</v>
      </c>
      <c r="T320">
        <v>2478</v>
      </c>
      <c r="U320">
        <v>20938</v>
      </c>
      <c r="V320">
        <v>1</v>
      </c>
      <c r="W320" t="s">
        <v>35</v>
      </c>
      <c r="X320" t="s">
        <v>35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</row>
    <row r="321" spans="1:36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f>FLOOR(Table1_2[[#This Row],[MonthlyIncome]],1000)</f>
        <v>5000</v>
      </c>
      <c r="T321">
        <v>5228</v>
      </c>
      <c r="U321">
        <v>24624</v>
      </c>
      <c r="V321">
        <v>1</v>
      </c>
      <c r="W321" t="s">
        <v>35</v>
      </c>
      <c r="X321" t="s">
        <v>35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</row>
    <row r="322" spans="1:36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f>FLOOR(Table1_2[[#This Row],[MonthlyIncome]],1000)</f>
        <v>4000</v>
      </c>
      <c r="T322">
        <v>4478</v>
      </c>
      <c r="U322">
        <v>5242</v>
      </c>
      <c r="V322">
        <v>1</v>
      </c>
      <c r="W322" t="s">
        <v>35</v>
      </c>
      <c r="X322" t="s">
        <v>35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</row>
    <row r="323" spans="1:36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f>FLOOR(Table1_2[[#This Row],[MonthlyIncome]],1000)</f>
        <v>7000</v>
      </c>
      <c r="T323">
        <v>7547</v>
      </c>
      <c r="U323">
        <v>7143</v>
      </c>
      <c r="V323">
        <v>4</v>
      </c>
      <c r="W323" t="s">
        <v>35</v>
      </c>
      <c r="X323" t="s">
        <v>43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</row>
    <row r="324" spans="1:36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f>FLOOR(Table1_2[[#This Row],[MonthlyIncome]],1000)</f>
        <v>5000</v>
      </c>
      <c r="T324">
        <v>5055</v>
      </c>
      <c r="U324">
        <v>10557</v>
      </c>
      <c r="V324">
        <v>7</v>
      </c>
      <c r="W324" t="s">
        <v>35</v>
      </c>
      <c r="X324" t="s">
        <v>43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</row>
    <row r="325" spans="1:36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f>FLOOR(Table1_2[[#This Row],[MonthlyIncome]],1000)</f>
        <v>3000</v>
      </c>
      <c r="T325">
        <v>3464</v>
      </c>
      <c r="U325">
        <v>24737</v>
      </c>
      <c r="V325">
        <v>5</v>
      </c>
      <c r="W325" t="s">
        <v>35</v>
      </c>
      <c r="X325" t="s">
        <v>35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</row>
    <row r="326" spans="1:36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f>FLOOR(Table1_2[[#This Row],[MonthlyIncome]],1000)</f>
        <v>5000</v>
      </c>
      <c r="T326">
        <v>5775</v>
      </c>
      <c r="U326">
        <v>11934</v>
      </c>
      <c r="V326">
        <v>1</v>
      </c>
      <c r="W326" t="s">
        <v>35</v>
      </c>
      <c r="X326" t="s">
        <v>43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</row>
    <row r="327" spans="1:36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f>FLOOR(Table1_2[[#This Row],[MonthlyIncome]],1000)</f>
        <v>8000</v>
      </c>
      <c r="T327">
        <v>8943</v>
      </c>
      <c r="U327">
        <v>14034</v>
      </c>
      <c r="V327">
        <v>1</v>
      </c>
      <c r="W327" t="s">
        <v>35</v>
      </c>
      <c r="X327" t="s">
        <v>43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</row>
    <row r="328" spans="1:36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f>FLOOR(Table1_2[[#This Row],[MonthlyIncome]],1000)</f>
        <v>19000</v>
      </c>
      <c r="T328">
        <v>19272</v>
      </c>
      <c r="U328">
        <v>21141</v>
      </c>
      <c r="V328">
        <v>1</v>
      </c>
      <c r="W328" t="s">
        <v>35</v>
      </c>
      <c r="X328" t="s">
        <v>43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</row>
    <row r="329" spans="1:36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f>FLOOR(Table1_2[[#This Row],[MonthlyIncome]],1000)</f>
        <v>5000</v>
      </c>
      <c r="T329">
        <v>5238</v>
      </c>
      <c r="U329">
        <v>17778</v>
      </c>
      <c r="V329">
        <v>4</v>
      </c>
      <c r="W329" t="s">
        <v>35</v>
      </c>
      <c r="X329" t="s">
        <v>35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</row>
    <row r="330" spans="1:36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f>FLOOR(Table1_2[[#This Row],[MonthlyIncome]],1000)</f>
        <v>4000</v>
      </c>
      <c r="T330">
        <v>4682</v>
      </c>
      <c r="U330">
        <v>4317</v>
      </c>
      <c r="V330">
        <v>3</v>
      </c>
      <c r="W330" t="s">
        <v>35</v>
      </c>
      <c r="X330" t="s">
        <v>43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</row>
    <row r="331" spans="1:36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f>FLOOR(Table1_2[[#This Row],[MonthlyIncome]],1000)</f>
        <v>18000</v>
      </c>
      <c r="T331">
        <v>18300</v>
      </c>
      <c r="U331">
        <v>16375</v>
      </c>
      <c r="V331">
        <v>4</v>
      </c>
      <c r="W331" t="s">
        <v>35</v>
      </c>
      <c r="X331" t="s">
        <v>43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</row>
    <row r="332" spans="1:36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f>FLOOR(Table1_2[[#This Row],[MonthlyIncome]],1000)</f>
        <v>5000</v>
      </c>
      <c r="T332">
        <v>5257</v>
      </c>
      <c r="U332">
        <v>6227</v>
      </c>
      <c r="V332">
        <v>1</v>
      </c>
      <c r="W332" t="s">
        <v>35</v>
      </c>
      <c r="X332" t="s">
        <v>43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</row>
    <row r="333" spans="1:36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f>FLOOR(Table1_2[[#This Row],[MonthlyIncome]],1000)</f>
        <v>6000</v>
      </c>
      <c r="T333">
        <v>6349</v>
      </c>
      <c r="U333">
        <v>22107</v>
      </c>
      <c r="V333">
        <v>0</v>
      </c>
      <c r="W333" t="s">
        <v>35</v>
      </c>
      <c r="X333" t="s">
        <v>35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</row>
    <row r="334" spans="1:36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f>FLOOR(Table1_2[[#This Row],[MonthlyIncome]],1000)</f>
        <v>4000</v>
      </c>
      <c r="T334">
        <v>4869</v>
      </c>
      <c r="U334">
        <v>16885</v>
      </c>
      <c r="V334">
        <v>3</v>
      </c>
      <c r="W334" t="s">
        <v>35</v>
      </c>
      <c r="X334" t="s">
        <v>43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</row>
    <row r="335" spans="1:36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f>FLOOR(Table1_2[[#This Row],[MonthlyIncome]],1000)</f>
        <v>9000</v>
      </c>
      <c r="T335">
        <v>9985</v>
      </c>
      <c r="U335">
        <v>9262</v>
      </c>
      <c r="V335">
        <v>8</v>
      </c>
      <c r="W335" t="s">
        <v>35</v>
      </c>
      <c r="X335" t="s">
        <v>43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</row>
    <row r="336" spans="1:36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f>FLOOR(Table1_2[[#This Row],[MonthlyIncome]],1000)</f>
        <v>3000</v>
      </c>
      <c r="T336">
        <v>3697</v>
      </c>
      <c r="U336">
        <v>9278</v>
      </c>
      <c r="V336">
        <v>9</v>
      </c>
      <c r="W336" t="s">
        <v>35</v>
      </c>
      <c r="X336" t="s">
        <v>43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</row>
    <row r="337" spans="1:36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f>FLOOR(Table1_2[[#This Row],[MonthlyIncome]],1000)</f>
        <v>7000</v>
      </c>
      <c r="T337">
        <v>7457</v>
      </c>
      <c r="U337">
        <v>13273</v>
      </c>
      <c r="V337">
        <v>2</v>
      </c>
      <c r="W337" t="s">
        <v>35</v>
      </c>
      <c r="X337" t="s">
        <v>35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</row>
    <row r="338" spans="1:36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f>FLOOR(Table1_2[[#This Row],[MonthlyIncome]],1000)</f>
        <v>2000</v>
      </c>
      <c r="T338">
        <v>2119</v>
      </c>
      <c r="U338">
        <v>4759</v>
      </c>
      <c r="V338">
        <v>1</v>
      </c>
      <c r="W338" t="s">
        <v>35</v>
      </c>
      <c r="X338" t="s">
        <v>35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</row>
    <row r="339" spans="1:36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f>FLOOR(Table1_2[[#This Row],[MonthlyIncome]],1000)</f>
        <v>3000</v>
      </c>
      <c r="T339">
        <v>3983</v>
      </c>
      <c r="U339">
        <v>7621</v>
      </c>
      <c r="V339">
        <v>0</v>
      </c>
      <c r="W339" t="s">
        <v>35</v>
      </c>
      <c r="X339" t="s">
        <v>43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</row>
    <row r="340" spans="1:36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f>FLOOR(Table1_2[[#This Row],[MonthlyIncome]],1000)</f>
        <v>6000</v>
      </c>
      <c r="T340">
        <v>6118</v>
      </c>
      <c r="U340">
        <v>5431</v>
      </c>
      <c r="V340">
        <v>1</v>
      </c>
      <c r="W340" t="s">
        <v>35</v>
      </c>
      <c r="X340" t="s">
        <v>43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</row>
    <row r="341" spans="1:36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f>FLOOR(Table1_2[[#This Row],[MonthlyIncome]],1000)</f>
        <v>6000</v>
      </c>
      <c r="T341">
        <v>6214</v>
      </c>
      <c r="U341">
        <v>3415</v>
      </c>
      <c r="V341">
        <v>1</v>
      </c>
      <c r="W341" t="s">
        <v>35</v>
      </c>
      <c r="X341" t="s">
        <v>43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</row>
    <row r="342" spans="1:36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f>FLOOR(Table1_2[[#This Row],[MonthlyIncome]],1000)</f>
        <v>6000</v>
      </c>
      <c r="T342">
        <v>6347</v>
      </c>
      <c r="U342">
        <v>23177</v>
      </c>
      <c r="V342">
        <v>7</v>
      </c>
      <c r="W342" t="s">
        <v>35</v>
      </c>
      <c r="X342" t="s">
        <v>43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</row>
    <row r="343" spans="1:36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f>FLOOR(Table1_2[[#This Row],[MonthlyIncome]],1000)</f>
        <v>11000</v>
      </c>
      <c r="T343">
        <v>11510</v>
      </c>
      <c r="U343">
        <v>15682</v>
      </c>
      <c r="V343">
        <v>0</v>
      </c>
      <c r="W343" t="s">
        <v>35</v>
      </c>
      <c r="X343" t="s">
        <v>35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</row>
    <row r="344" spans="1:36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f>FLOOR(Table1_2[[#This Row],[MonthlyIncome]],1000)</f>
        <v>7000</v>
      </c>
      <c r="T344">
        <v>7143</v>
      </c>
      <c r="U344">
        <v>25713</v>
      </c>
      <c r="V344">
        <v>1</v>
      </c>
      <c r="W344" t="s">
        <v>35</v>
      </c>
      <c r="X344" t="s">
        <v>35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</row>
    <row r="345" spans="1:36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f>FLOOR(Table1_2[[#This Row],[MonthlyIncome]],1000)</f>
        <v>8000</v>
      </c>
      <c r="T345">
        <v>8268</v>
      </c>
      <c r="U345">
        <v>11866</v>
      </c>
      <c r="V345">
        <v>1</v>
      </c>
      <c r="W345" t="s">
        <v>35</v>
      </c>
      <c r="X345" t="s">
        <v>35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</row>
    <row r="346" spans="1:36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f>FLOOR(Table1_2[[#This Row],[MonthlyIncome]],1000)</f>
        <v>8000</v>
      </c>
      <c r="T346">
        <v>8095</v>
      </c>
      <c r="U346">
        <v>18264</v>
      </c>
      <c r="V346">
        <v>0</v>
      </c>
      <c r="W346" t="s">
        <v>35</v>
      </c>
      <c r="X346" t="s">
        <v>43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</row>
    <row r="347" spans="1:36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f>FLOOR(Table1_2[[#This Row],[MonthlyIncome]],1000)</f>
        <v>2000</v>
      </c>
      <c r="T347">
        <v>2904</v>
      </c>
      <c r="U347">
        <v>16092</v>
      </c>
      <c r="V347">
        <v>1</v>
      </c>
      <c r="W347" t="s">
        <v>35</v>
      </c>
      <c r="X347" t="s">
        <v>43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</row>
    <row r="348" spans="1:36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f>FLOOR(Table1_2[[#This Row],[MonthlyIncome]],1000)</f>
        <v>6000</v>
      </c>
      <c r="T348">
        <v>6032</v>
      </c>
      <c r="U348">
        <v>10110</v>
      </c>
      <c r="V348">
        <v>6</v>
      </c>
      <c r="W348" t="s">
        <v>35</v>
      </c>
      <c r="X348" t="s">
        <v>35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</row>
    <row r="349" spans="1:36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f>FLOOR(Table1_2[[#This Row],[MonthlyIncome]],1000)</f>
        <v>2000</v>
      </c>
      <c r="T349">
        <v>2976</v>
      </c>
      <c r="U349">
        <v>25751</v>
      </c>
      <c r="V349">
        <v>3</v>
      </c>
      <c r="W349" t="s">
        <v>35</v>
      </c>
      <c r="X349" t="s">
        <v>43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</row>
    <row r="350" spans="1:36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f>FLOOR(Table1_2[[#This Row],[MonthlyIncome]],1000)</f>
        <v>15000</v>
      </c>
      <c r="T350">
        <v>15992</v>
      </c>
      <c r="U350">
        <v>15901</v>
      </c>
      <c r="V350">
        <v>2</v>
      </c>
      <c r="W350" t="s">
        <v>35</v>
      </c>
      <c r="X350" t="s">
        <v>43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</row>
    <row r="351" spans="1:36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f>FLOOR(Table1_2[[#This Row],[MonthlyIncome]],1000)</f>
        <v>4000</v>
      </c>
      <c r="T351">
        <v>4649</v>
      </c>
      <c r="U351">
        <v>16928</v>
      </c>
      <c r="V351">
        <v>1</v>
      </c>
      <c r="W351" t="s">
        <v>35</v>
      </c>
      <c r="X351" t="s">
        <v>43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</row>
    <row r="352" spans="1:36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f>FLOOR(Table1_2[[#This Row],[MonthlyIncome]],1000)</f>
        <v>2000</v>
      </c>
      <c r="T352">
        <v>2696</v>
      </c>
      <c r="U352">
        <v>24017</v>
      </c>
      <c r="V352">
        <v>0</v>
      </c>
      <c r="W352" t="s">
        <v>35</v>
      </c>
      <c r="X352" t="s">
        <v>35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</row>
    <row r="353" spans="1:36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f>FLOOR(Table1_2[[#This Row],[MonthlyIncome]],1000)</f>
        <v>2000</v>
      </c>
      <c r="T353">
        <v>2370</v>
      </c>
      <c r="U353">
        <v>3956</v>
      </c>
      <c r="V353">
        <v>1</v>
      </c>
      <c r="W353" t="s">
        <v>35</v>
      </c>
      <c r="X353" t="s">
        <v>43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</row>
    <row r="354" spans="1:36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f>FLOOR(Table1_2[[#This Row],[MonthlyIncome]],1000)</f>
        <v>12000</v>
      </c>
      <c r="T354">
        <v>12504</v>
      </c>
      <c r="U354">
        <v>23978</v>
      </c>
      <c r="V354">
        <v>3</v>
      </c>
      <c r="W354" t="s">
        <v>35</v>
      </c>
      <c r="X354" t="s">
        <v>43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</row>
    <row r="355" spans="1:36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f>FLOOR(Table1_2[[#This Row],[MonthlyIncome]],1000)</f>
        <v>5000</v>
      </c>
      <c r="T355">
        <v>5974</v>
      </c>
      <c r="U355">
        <v>17001</v>
      </c>
      <c r="V355">
        <v>4</v>
      </c>
      <c r="W355" t="s">
        <v>35</v>
      </c>
      <c r="X355" t="s">
        <v>35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</row>
    <row r="356" spans="1:36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f>FLOOR(Table1_2[[#This Row],[MonthlyIncome]],1000)</f>
        <v>4000</v>
      </c>
      <c r="T356">
        <v>4736</v>
      </c>
      <c r="U356">
        <v>6069</v>
      </c>
      <c r="V356">
        <v>7</v>
      </c>
      <c r="W356" t="s">
        <v>35</v>
      </c>
      <c r="X356" t="s">
        <v>35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</row>
    <row r="357" spans="1:36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f>FLOOR(Table1_2[[#This Row],[MonthlyIncome]],1000)</f>
        <v>5000</v>
      </c>
      <c r="T357">
        <v>5296</v>
      </c>
      <c r="U357">
        <v>20156</v>
      </c>
      <c r="V357">
        <v>1</v>
      </c>
      <c r="W357" t="s">
        <v>35</v>
      </c>
      <c r="X357" t="s">
        <v>43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</row>
    <row r="358" spans="1:36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f>FLOOR(Table1_2[[#This Row],[MonthlyIncome]],1000)</f>
        <v>6000</v>
      </c>
      <c r="T358">
        <v>6781</v>
      </c>
      <c r="U358">
        <v>17078</v>
      </c>
      <c r="V358">
        <v>3</v>
      </c>
      <c r="W358" t="s">
        <v>35</v>
      </c>
      <c r="X358" t="s">
        <v>43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f>FLOOR(Table1_2[[#This Row],[MonthlyIncome]],1000)</f>
        <v>2000</v>
      </c>
      <c r="T359">
        <v>2174</v>
      </c>
      <c r="U359">
        <v>9150</v>
      </c>
      <c r="V359">
        <v>1</v>
      </c>
      <c r="W359" t="s">
        <v>35</v>
      </c>
      <c r="X359" t="s">
        <v>35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</row>
    <row r="360" spans="1:36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f>FLOOR(Table1_2[[#This Row],[MonthlyIncome]],1000)</f>
        <v>6000</v>
      </c>
      <c r="T360">
        <v>6653</v>
      </c>
      <c r="U360">
        <v>15276</v>
      </c>
      <c r="V360">
        <v>4</v>
      </c>
      <c r="W360" t="s">
        <v>35</v>
      </c>
      <c r="X360" t="s">
        <v>43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1:36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f>FLOOR(Table1_2[[#This Row],[MonthlyIncome]],1000)</f>
        <v>9000</v>
      </c>
      <c r="T361">
        <v>9699</v>
      </c>
      <c r="U361">
        <v>7246</v>
      </c>
      <c r="V361">
        <v>4</v>
      </c>
      <c r="W361" t="s">
        <v>35</v>
      </c>
      <c r="X361" t="s">
        <v>43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</row>
    <row r="362" spans="1:36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f>FLOOR(Table1_2[[#This Row],[MonthlyIncome]],1000)</f>
        <v>6000</v>
      </c>
      <c r="T362">
        <v>6755</v>
      </c>
      <c r="U362">
        <v>2967</v>
      </c>
      <c r="V362">
        <v>2</v>
      </c>
      <c r="W362" t="s">
        <v>35</v>
      </c>
      <c r="X362" t="s">
        <v>43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</row>
    <row r="363" spans="1:36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f>FLOOR(Table1_2[[#This Row],[MonthlyIncome]],1000)</f>
        <v>2000</v>
      </c>
      <c r="T363">
        <v>2213</v>
      </c>
      <c r="U363">
        <v>22495</v>
      </c>
      <c r="V363">
        <v>3</v>
      </c>
      <c r="W363" t="s">
        <v>35</v>
      </c>
      <c r="X363" t="s">
        <v>35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</row>
    <row r="364" spans="1:36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f>FLOOR(Table1_2[[#This Row],[MonthlyIncome]],1000)</f>
        <v>2000</v>
      </c>
      <c r="T364">
        <v>2610</v>
      </c>
      <c r="U364">
        <v>2851</v>
      </c>
      <c r="V364">
        <v>1</v>
      </c>
      <c r="W364" t="s">
        <v>35</v>
      </c>
      <c r="X364" t="s">
        <v>43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</row>
    <row r="365" spans="1:36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f>FLOOR(Table1_2[[#This Row],[MonthlyIncome]],1000)</f>
        <v>2000</v>
      </c>
      <c r="T365">
        <v>2851</v>
      </c>
      <c r="U365">
        <v>9150</v>
      </c>
      <c r="V365">
        <v>1</v>
      </c>
      <c r="W365" t="s">
        <v>35</v>
      </c>
      <c r="X365" t="s">
        <v>35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</row>
    <row r="366" spans="1:36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f>FLOOR(Table1_2[[#This Row],[MonthlyIncome]],1000)</f>
        <v>3000</v>
      </c>
      <c r="T366">
        <v>3452</v>
      </c>
      <c r="U366">
        <v>17663</v>
      </c>
      <c r="V366">
        <v>6</v>
      </c>
      <c r="W366" t="s">
        <v>35</v>
      </c>
      <c r="X366" t="s">
        <v>43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</row>
    <row r="367" spans="1:36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f>FLOOR(Table1_2[[#This Row],[MonthlyIncome]],1000)</f>
        <v>5000</v>
      </c>
      <c r="T367">
        <v>5258</v>
      </c>
      <c r="U367">
        <v>16044</v>
      </c>
      <c r="V367">
        <v>2</v>
      </c>
      <c r="W367" t="s">
        <v>35</v>
      </c>
      <c r="X367" t="s">
        <v>43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</row>
    <row r="368" spans="1:36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f>FLOOR(Table1_2[[#This Row],[MonthlyIncome]],1000)</f>
        <v>9000</v>
      </c>
      <c r="T368">
        <v>9355</v>
      </c>
      <c r="U368">
        <v>9558</v>
      </c>
      <c r="V368">
        <v>1</v>
      </c>
      <c r="W368" t="s">
        <v>35</v>
      </c>
      <c r="X368" t="s">
        <v>43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</row>
    <row r="369" spans="1:36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f>FLOOR(Table1_2[[#This Row],[MonthlyIncome]],1000)</f>
        <v>10000</v>
      </c>
      <c r="T369">
        <v>10496</v>
      </c>
      <c r="U369">
        <v>2755</v>
      </c>
      <c r="V369">
        <v>6</v>
      </c>
      <c r="W369" t="s">
        <v>35</v>
      </c>
      <c r="X369" t="s">
        <v>43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</row>
    <row r="370" spans="1:36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f>FLOOR(Table1_2[[#This Row],[MonthlyIncome]],1000)</f>
        <v>6000</v>
      </c>
      <c r="T370">
        <v>6380</v>
      </c>
      <c r="U370">
        <v>6110</v>
      </c>
      <c r="V370">
        <v>2</v>
      </c>
      <c r="W370" t="s">
        <v>35</v>
      </c>
      <c r="X370" t="s">
        <v>35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</row>
    <row r="371" spans="1:36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f>FLOOR(Table1_2[[#This Row],[MonthlyIncome]],1000)</f>
        <v>2000</v>
      </c>
      <c r="T371">
        <v>2657</v>
      </c>
      <c r="U371">
        <v>7551</v>
      </c>
      <c r="V371">
        <v>0</v>
      </c>
      <c r="W371" t="s">
        <v>35</v>
      </c>
      <c r="X371" t="s">
        <v>35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</row>
    <row r="372" spans="1:36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f>FLOOR(Table1_2[[#This Row],[MonthlyIncome]],1000)</f>
        <v>2000</v>
      </c>
      <c r="T372">
        <v>2716</v>
      </c>
      <c r="U372">
        <v>25422</v>
      </c>
      <c r="V372">
        <v>1</v>
      </c>
      <c r="W372" t="s">
        <v>35</v>
      </c>
      <c r="X372" t="s">
        <v>43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</row>
    <row r="373" spans="1:36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f>FLOOR(Table1_2[[#This Row],[MonthlyIncome]],1000)</f>
        <v>2000</v>
      </c>
      <c r="T373">
        <v>2201</v>
      </c>
      <c r="U373">
        <v>18168</v>
      </c>
      <c r="V373">
        <v>9</v>
      </c>
      <c r="W373" t="s">
        <v>35</v>
      </c>
      <c r="X373" t="s">
        <v>43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</row>
    <row r="374" spans="1:36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f>FLOOR(Table1_2[[#This Row],[MonthlyIncome]],1000)</f>
        <v>6000</v>
      </c>
      <c r="T374">
        <v>6540</v>
      </c>
      <c r="U374">
        <v>19394</v>
      </c>
      <c r="V374">
        <v>9</v>
      </c>
      <c r="W374" t="s">
        <v>35</v>
      </c>
      <c r="X374" t="s">
        <v>43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</row>
    <row r="375" spans="1:36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f>FLOOR(Table1_2[[#This Row],[MonthlyIncome]],1000)</f>
        <v>3000</v>
      </c>
      <c r="T375">
        <v>3816</v>
      </c>
      <c r="U375">
        <v>17881</v>
      </c>
      <c r="V375">
        <v>1</v>
      </c>
      <c r="W375" t="s">
        <v>35</v>
      </c>
      <c r="X375" t="s">
        <v>43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</row>
    <row r="376" spans="1:36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f>FLOOR(Table1_2[[#This Row],[MonthlyIncome]],1000)</f>
        <v>5000</v>
      </c>
      <c r="T376">
        <v>5253</v>
      </c>
      <c r="U376">
        <v>20750</v>
      </c>
      <c r="V376">
        <v>1</v>
      </c>
      <c r="W376" t="s">
        <v>35</v>
      </c>
      <c r="X376" t="s">
        <v>43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</row>
    <row r="377" spans="1:36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f>FLOOR(Table1_2[[#This Row],[MonthlyIncome]],1000)</f>
        <v>10000</v>
      </c>
      <c r="T377">
        <v>10965</v>
      </c>
      <c r="U377">
        <v>12066</v>
      </c>
      <c r="V377">
        <v>8</v>
      </c>
      <c r="W377" t="s">
        <v>35</v>
      </c>
      <c r="X377" t="s">
        <v>43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</row>
    <row r="378" spans="1:36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f>FLOOR(Table1_2[[#This Row],[MonthlyIncome]],1000)</f>
        <v>4000</v>
      </c>
      <c r="T378">
        <v>4936</v>
      </c>
      <c r="U378">
        <v>14862</v>
      </c>
      <c r="V378">
        <v>4</v>
      </c>
      <c r="W378" t="s">
        <v>35</v>
      </c>
      <c r="X378" t="s">
        <v>43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</row>
    <row r="379" spans="1:36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f>FLOOR(Table1_2[[#This Row],[MonthlyIncome]],1000)</f>
        <v>2000</v>
      </c>
      <c r="T379">
        <v>2543</v>
      </c>
      <c r="U379">
        <v>11868</v>
      </c>
      <c r="V379">
        <v>4</v>
      </c>
      <c r="W379" t="s">
        <v>35</v>
      </c>
      <c r="X379" t="s">
        <v>43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</row>
    <row r="380" spans="1:36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f>FLOOR(Table1_2[[#This Row],[MonthlyIncome]],1000)</f>
        <v>5000</v>
      </c>
      <c r="T380">
        <v>5304</v>
      </c>
      <c r="U380">
        <v>4652</v>
      </c>
      <c r="V380">
        <v>8</v>
      </c>
      <c r="W380" t="s">
        <v>35</v>
      </c>
      <c r="X380" t="s">
        <v>35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</row>
    <row r="381" spans="1:36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f>FLOOR(Table1_2[[#This Row],[MonthlyIncome]],1000)</f>
        <v>16000</v>
      </c>
      <c r="T381">
        <v>16659</v>
      </c>
      <c r="U381">
        <v>23258</v>
      </c>
      <c r="V381">
        <v>2</v>
      </c>
      <c r="W381" t="s">
        <v>35</v>
      </c>
      <c r="X381" t="s">
        <v>35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</row>
    <row r="382" spans="1:36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f>FLOOR(Table1_2[[#This Row],[MonthlyIncome]],1000)</f>
        <v>4000</v>
      </c>
      <c r="T382">
        <v>4260</v>
      </c>
      <c r="U382">
        <v>5915</v>
      </c>
      <c r="V382">
        <v>1</v>
      </c>
      <c r="W382" t="s">
        <v>35</v>
      </c>
      <c r="X382" t="s">
        <v>35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</row>
    <row r="383" spans="1:36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f>FLOOR(Table1_2[[#This Row],[MonthlyIncome]],1000)</f>
        <v>2000</v>
      </c>
      <c r="T383">
        <v>2476</v>
      </c>
      <c r="U383">
        <v>17434</v>
      </c>
      <c r="V383">
        <v>1</v>
      </c>
      <c r="W383" t="s">
        <v>35</v>
      </c>
      <c r="X383" t="s">
        <v>43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</row>
    <row r="384" spans="1:36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f>FLOOR(Table1_2[[#This Row],[MonthlyIncome]],1000)</f>
        <v>3000</v>
      </c>
      <c r="T384">
        <v>3102</v>
      </c>
      <c r="U384">
        <v>6582</v>
      </c>
      <c r="V384">
        <v>0</v>
      </c>
      <c r="W384" t="s">
        <v>35</v>
      </c>
      <c r="X384" t="s">
        <v>43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</row>
    <row r="385" spans="1:36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f>FLOOR(Table1_2[[#This Row],[MonthlyIncome]],1000)</f>
        <v>2000</v>
      </c>
      <c r="T385">
        <v>2244</v>
      </c>
      <c r="U385">
        <v>24440</v>
      </c>
      <c r="V385">
        <v>1</v>
      </c>
      <c r="W385" t="s">
        <v>35</v>
      </c>
      <c r="X385" t="s">
        <v>43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</row>
    <row r="386" spans="1:36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f>FLOOR(Table1_2[[#This Row],[MonthlyIncome]],1000)</f>
        <v>7000</v>
      </c>
      <c r="T386">
        <v>7596</v>
      </c>
      <c r="U386">
        <v>3809</v>
      </c>
      <c r="V386">
        <v>1</v>
      </c>
      <c r="W386" t="s">
        <v>35</v>
      </c>
      <c r="X386" t="s">
        <v>43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</row>
    <row r="387" spans="1:36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f>FLOOR(Table1_2[[#This Row],[MonthlyIncome]],1000)</f>
        <v>2000</v>
      </c>
      <c r="T387">
        <v>2285</v>
      </c>
      <c r="U387">
        <v>3427</v>
      </c>
      <c r="V387">
        <v>9</v>
      </c>
      <c r="W387" t="s">
        <v>35</v>
      </c>
      <c r="X387" t="s">
        <v>35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</row>
    <row r="388" spans="1:36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f>FLOOR(Table1_2[[#This Row],[MonthlyIncome]],1000)</f>
        <v>3000</v>
      </c>
      <c r="T388">
        <v>3034</v>
      </c>
      <c r="U388">
        <v>26914</v>
      </c>
      <c r="V388">
        <v>1</v>
      </c>
      <c r="W388" t="s">
        <v>35</v>
      </c>
      <c r="X388" t="s">
        <v>43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</row>
    <row r="389" spans="1:36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f>FLOOR(Table1_2[[#This Row],[MonthlyIncome]],1000)</f>
        <v>5000</v>
      </c>
      <c r="T389">
        <v>5715</v>
      </c>
      <c r="U389">
        <v>22553</v>
      </c>
      <c r="V389">
        <v>7</v>
      </c>
      <c r="W389" t="s">
        <v>35</v>
      </c>
      <c r="X389" t="s">
        <v>43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</row>
    <row r="390" spans="1:36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f>FLOOR(Table1_2[[#This Row],[MonthlyIncome]],1000)</f>
        <v>2000</v>
      </c>
      <c r="T390">
        <v>2576</v>
      </c>
      <c r="U390">
        <v>20490</v>
      </c>
      <c r="V390">
        <v>3</v>
      </c>
      <c r="W390" t="s">
        <v>35</v>
      </c>
      <c r="X390" t="s">
        <v>43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</row>
    <row r="391" spans="1:36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f>FLOOR(Table1_2[[#This Row],[MonthlyIncome]],1000)</f>
        <v>4000</v>
      </c>
      <c r="T391">
        <v>4197</v>
      </c>
      <c r="U391">
        <v>21123</v>
      </c>
      <c r="V391">
        <v>2</v>
      </c>
      <c r="W391" t="s">
        <v>35</v>
      </c>
      <c r="X391" t="s">
        <v>35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</row>
    <row r="392" spans="1:36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f>FLOOR(Table1_2[[#This Row],[MonthlyIncome]],1000)</f>
        <v>14000</v>
      </c>
      <c r="T392">
        <v>14336</v>
      </c>
      <c r="U392">
        <v>4345</v>
      </c>
      <c r="V392">
        <v>1</v>
      </c>
      <c r="W392" t="s">
        <v>35</v>
      </c>
      <c r="X392" t="s">
        <v>43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</row>
    <row r="393" spans="1:36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f>FLOOR(Table1_2[[#This Row],[MonthlyIncome]],1000)</f>
        <v>3000</v>
      </c>
      <c r="T393">
        <v>3448</v>
      </c>
      <c r="U393">
        <v>13436</v>
      </c>
      <c r="V393">
        <v>6</v>
      </c>
      <c r="W393" t="s">
        <v>35</v>
      </c>
      <c r="X393" t="s">
        <v>43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</row>
    <row r="394" spans="1:36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f>FLOOR(Table1_2[[#This Row],[MonthlyIncome]],1000)</f>
        <v>19000</v>
      </c>
      <c r="T394">
        <v>19406</v>
      </c>
      <c r="U394">
        <v>8509</v>
      </c>
      <c r="V394">
        <v>4</v>
      </c>
      <c r="W394" t="s">
        <v>35</v>
      </c>
      <c r="X394" t="s">
        <v>43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</row>
    <row r="395" spans="1:36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f>FLOOR(Table1_2[[#This Row],[MonthlyIncome]],1000)</f>
        <v>6000</v>
      </c>
      <c r="T395">
        <v>6538</v>
      </c>
      <c r="U395">
        <v>12740</v>
      </c>
      <c r="V395">
        <v>9</v>
      </c>
      <c r="W395" t="s">
        <v>35</v>
      </c>
      <c r="X395" t="s">
        <v>43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</row>
    <row r="396" spans="1:36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f>FLOOR(Table1_2[[#This Row],[MonthlyIncome]],1000)</f>
        <v>4000</v>
      </c>
      <c r="T396">
        <v>4306</v>
      </c>
      <c r="U396">
        <v>4156</v>
      </c>
      <c r="V396">
        <v>1</v>
      </c>
      <c r="W396" t="s">
        <v>35</v>
      </c>
      <c r="X396" t="s">
        <v>43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</row>
    <row r="397" spans="1:36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f>FLOOR(Table1_2[[#This Row],[MonthlyIncome]],1000)</f>
        <v>2000</v>
      </c>
      <c r="T397">
        <v>2258</v>
      </c>
      <c r="U397">
        <v>15238</v>
      </c>
      <c r="V397">
        <v>7</v>
      </c>
      <c r="W397" t="s">
        <v>35</v>
      </c>
      <c r="X397" t="s">
        <v>43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1:36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f>FLOOR(Table1_2[[#This Row],[MonthlyIncome]],1000)</f>
        <v>4000</v>
      </c>
      <c r="T398">
        <v>4522</v>
      </c>
      <c r="U398">
        <v>2227</v>
      </c>
      <c r="V398">
        <v>4</v>
      </c>
      <c r="W398" t="s">
        <v>35</v>
      </c>
      <c r="X398" t="s">
        <v>35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</row>
    <row r="399" spans="1:36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f>FLOOR(Table1_2[[#This Row],[MonthlyIncome]],1000)</f>
        <v>4000</v>
      </c>
      <c r="T399">
        <v>4487</v>
      </c>
      <c r="U399">
        <v>12090</v>
      </c>
      <c r="V399">
        <v>1</v>
      </c>
      <c r="W399" t="s">
        <v>35</v>
      </c>
      <c r="X399" t="s">
        <v>35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</row>
    <row r="400" spans="1:36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f>FLOOR(Table1_2[[#This Row],[MonthlyIncome]],1000)</f>
        <v>4000</v>
      </c>
      <c r="T400">
        <v>4449</v>
      </c>
      <c r="U400">
        <v>23866</v>
      </c>
      <c r="V400">
        <v>3</v>
      </c>
      <c r="W400" t="s">
        <v>35</v>
      </c>
      <c r="X400" t="s">
        <v>35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</row>
    <row r="401" spans="1:36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f>FLOOR(Table1_2[[#This Row],[MonthlyIncome]],1000)</f>
        <v>2000</v>
      </c>
      <c r="T401">
        <v>2218</v>
      </c>
      <c r="U401">
        <v>16193</v>
      </c>
      <c r="V401">
        <v>1</v>
      </c>
      <c r="W401" t="s">
        <v>35</v>
      </c>
      <c r="X401" t="s">
        <v>43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</row>
    <row r="402" spans="1:36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f>FLOOR(Table1_2[[#This Row],[MonthlyIncome]],1000)</f>
        <v>19000</v>
      </c>
      <c r="T402">
        <v>19197</v>
      </c>
      <c r="U402">
        <v>8213</v>
      </c>
      <c r="V402">
        <v>1</v>
      </c>
      <c r="W402" t="s">
        <v>35</v>
      </c>
      <c r="X402" t="s">
        <v>35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</row>
    <row r="403" spans="1:36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f>FLOOR(Table1_2[[#This Row],[MonthlyIncome]],1000)</f>
        <v>13000</v>
      </c>
      <c r="T403">
        <v>13212</v>
      </c>
      <c r="U403">
        <v>18256</v>
      </c>
      <c r="V403">
        <v>9</v>
      </c>
      <c r="W403" t="s">
        <v>35</v>
      </c>
      <c r="X403" t="s">
        <v>43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</row>
    <row r="404" spans="1:36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f>FLOOR(Table1_2[[#This Row],[MonthlyIncome]],1000)</f>
        <v>6000</v>
      </c>
      <c r="T404">
        <v>6577</v>
      </c>
      <c r="U404">
        <v>19558</v>
      </c>
      <c r="V404">
        <v>0</v>
      </c>
      <c r="W404" t="s">
        <v>35</v>
      </c>
      <c r="X404" t="s">
        <v>43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</row>
    <row r="405" spans="1:36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f>FLOOR(Table1_2[[#This Row],[MonthlyIncome]],1000)</f>
        <v>8000</v>
      </c>
      <c r="T405">
        <v>8392</v>
      </c>
      <c r="U405">
        <v>19566</v>
      </c>
      <c r="V405">
        <v>1</v>
      </c>
      <c r="W405" t="s">
        <v>35</v>
      </c>
      <c r="X405" t="s">
        <v>43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</row>
    <row r="406" spans="1:36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f>FLOOR(Table1_2[[#This Row],[MonthlyIncome]],1000)</f>
        <v>4000</v>
      </c>
      <c r="T406">
        <v>4558</v>
      </c>
      <c r="U406">
        <v>13535</v>
      </c>
      <c r="V406">
        <v>1</v>
      </c>
      <c r="W406" t="s">
        <v>35</v>
      </c>
      <c r="X406" t="s">
        <v>43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</row>
    <row r="407" spans="1:36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f>FLOOR(Table1_2[[#This Row],[MonthlyIncome]],1000)</f>
        <v>4000</v>
      </c>
      <c r="T407">
        <v>4031</v>
      </c>
      <c r="U407">
        <v>9396</v>
      </c>
      <c r="V407">
        <v>5</v>
      </c>
      <c r="W407" t="s">
        <v>35</v>
      </c>
      <c r="X407" t="s">
        <v>43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</row>
    <row r="408" spans="1:36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f>FLOOR(Table1_2[[#This Row],[MonthlyIncome]],1000)</f>
        <v>7000</v>
      </c>
      <c r="T408">
        <v>7969</v>
      </c>
      <c r="U408">
        <v>19609</v>
      </c>
      <c r="V408">
        <v>2</v>
      </c>
      <c r="W408" t="s">
        <v>35</v>
      </c>
      <c r="X408" t="s">
        <v>35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</row>
    <row r="409" spans="1:36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f>FLOOR(Table1_2[[#This Row],[MonthlyIncome]],1000)</f>
        <v>2000</v>
      </c>
      <c r="T409">
        <v>2654</v>
      </c>
      <c r="U409">
        <v>9655</v>
      </c>
      <c r="V409">
        <v>3</v>
      </c>
      <c r="W409" t="s">
        <v>35</v>
      </c>
      <c r="X409" t="s">
        <v>43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</row>
    <row r="410" spans="1:36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f>FLOOR(Table1_2[[#This Row],[MonthlyIncome]],1000)</f>
        <v>16000</v>
      </c>
      <c r="T410">
        <v>16555</v>
      </c>
      <c r="U410">
        <v>10310</v>
      </c>
      <c r="V410">
        <v>2</v>
      </c>
      <c r="W410" t="s">
        <v>35</v>
      </c>
      <c r="X410" t="s">
        <v>43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</row>
    <row r="411" spans="1:36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f>FLOOR(Table1_2[[#This Row],[MonthlyIncome]],1000)</f>
        <v>4000</v>
      </c>
      <c r="T411">
        <v>4556</v>
      </c>
      <c r="U411">
        <v>12932</v>
      </c>
      <c r="V411">
        <v>2</v>
      </c>
      <c r="W411" t="s">
        <v>35</v>
      </c>
      <c r="X411" t="s">
        <v>43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</row>
    <row r="412" spans="1:36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f>FLOOR(Table1_2[[#This Row],[MonthlyIncome]],1000)</f>
        <v>6000</v>
      </c>
      <c r="T412">
        <v>6091</v>
      </c>
      <c r="U412">
        <v>24793</v>
      </c>
      <c r="V412">
        <v>2</v>
      </c>
      <c r="W412" t="s">
        <v>35</v>
      </c>
      <c r="X412" t="s">
        <v>43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</row>
    <row r="413" spans="1:36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f>FLOOR(Table1_2[[#This Row],[MonthlyIncome]],1000)</f>
        <v>19000</v>
      </c>
      <c r="T413">
        <v>19566</v>
      </c>
      <c r="U413">
        <v>3854</v>
      </c>
      <c r="V413">
        <v>5</v>
      </c>
      <c r="W413" t="s">
        <v>35</v>
      </c>
      <c r="X413" t="s">
        <v>43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</row>
    <row r="414" spans="1:36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f>FLOOR(Table1_2[[#This Row],[MonthlyIncome]],1000)</f>
        <v>4000</v>
      </c>
      <c r="T414">
        <v>4810</v>
      </c>
      <c r="U414">
        <v>26314</v>
      </c>
      <c r="V414">
        <v>2</v>
      </c>
      <c r="W414" t="s">
        <v>35</v>
      </c>
      <c r="X414" t="s">
        <v>43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</row>
    <row r="415" spans="1:36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f>FLOOR(Table1_2[[#This Row],[MonthlyIncome]],1000)</f>
        <v>4000</v>
      </c>
      <c r="T415">
        <v>4523</v>
      </c>
      <c r="U415">
        <v>4386</v>
      </c>
      <c r="V415">
        <v>0</v>
      </c>
      <c r="W415" t="s">
        <v>35</v>
      </c>
      <c r="X415" t="s">
        <v>43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</row>
    <row r="416" spans="1:36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f>FLOOR(Table1_2[[#This Row],[MonthlyIncome]],1000)</f>
        <v>3000</v>
      </c>
      <c r="T416">
        <v>3202</v>
      </c>
      <c r="U416">
        <v>21972</v>
      </c>
      <c r="V416">
        <v>1</v>
      </c>
      <c r="W416" t="s">
        <v>35</v>
      </c>
      <c r="X416" t="s">
        <v>35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</row>
    <row r="417" spans="1:36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f>FLOOR(Table1_2[[#This Row],[MonthlyIncome]],1000)</f>
        <v>2000</v>
      </c>
      <c r="T417">
        <v>2351</v>
      </c>
      <c r="U417">
        <v>12253</v>
      </c>
      <c r="V417">
        <v>0</v>
      </c>
      <c r="W417" t="s">
        <v>35</v>
      </c>
      <c r="X417" t="s">
        <v>43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</row>
    <row r="418" spans="1:36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f>FLOOR(Table1_2[[#This Row],[MonthlyIncome]],1000)</f>
        <v>1000</v>
      </c>
      <c r="T418">
        <v>1702</v>
      </c>
      <c r="U418">
        <v>12106</v>
      </c>
      <c r="V418">
        <v>1</v>
      </c>
      <c r="W418" t="s">
        <v>35</v>
      </c>
      <c r="X418" t="s">
        <v>35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</row>
    <row r="419" spans="1:36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f>FLOOR(Table1_2[[#This Row],[MonthlyIncome]],1000)</f>
        <v>18000</v>
      </c>
      <c r="T419">
        <v>18041</v>
      </c>
      <c r="U419">
        <v>13022</v>
      </c>
      <c r="V419">
        <v>0</v>
      </c>
      <c r="W419" t="s">
        <v>35</v>
      </c>
      <c r="X419" t="s">
        <v>43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</row>
    <row r="420" spans="1:36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f>FLOOR(Table1_2[[#This Row],[MonthlyIncome]],1000)</f>
        <v>2000</v>
      </c>
      <c r="T420">
        <v>2886</v>
      </c>
      <c r="U420">
        <v>3032</v>
      </c>
      <c r="V420">
        <v>1</v>
      </c>
      <c r="W420" t="s">
        <v>35</v>
      </c>
      <c r="X420" t="s">
        <v>43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</row>
    <row r="421" spans="1:36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f>FLOOR(Table1_2[[#This Row],[MonthlyIncome]],1000)</f>
        <v>2000</v>
      </c>
      <c r="T421">
        <v>2097</v>
      </c>
      <c r="U421">
        <v>16734</v>
      </c>
      <c r="V421">
        <v>4</v>
      </c>
      <c r="W421" t="s">
        <v>35</v>
      </c>
      <c r="X421" t="s">
        <v>43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</row>
    <row r="422" spans="1:36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f>FLOOR(Table1_2[[#This Row],[MonthlyIncome]],1000)</f>
        <v>11000</v>
      </c>
      <c r="T422">
        <v>11935</v>
      </c>
      <c r="U422">
        <v>21526</v>
      </c>
      <c r="V422">
        <v>1</v>
      </c>
      <c r="W422" t="s">
        <v>35</v>
      </c>
      <c r="X422" t="s">
        <v>43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</row>
    <row r="423" spans="1:36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f>FLOOR(Table1_2[[#This Row],[MonthlyIncome]],1000)</f>
        <v>2000</v>
      </c>
      <c r="T423">
        <v>2546</v>
      </c>
      <c r="U423">
        <v>18300</v>
      </c>
      <c r="V423">
        <v>5</v>
      </c>
      <c r="W423" t="s">
        <v>35</v>
      </c>
      <c r="X423" t="s">
        <v>43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</row>
    <row r="424" spans="1:36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f>FLOOR(Table1_2[[#This Row],[MonthlyIncome]],1000)</f>
        <v>2000</v>
      </c>
      <c r="T424">
        <v>2564</v>
      </c>
      <c r="U424">
        <v>18437</v>
      </c>
      <c r="V424">
        <v>1</v>
      </c>
      <c r="W424" t="s">
        <v>35</v>
      </c>
      <c r="X424" t="s">
        <v>43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</row>
    <row r="425" spans="1:36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f>FLOOR(Table1_2[[#This Row],[MonthlyIncome]],1000)</f>
        <v>8000</v>
      </c>
      <c r="T425">
        <v>8412</v>
      </c>
      <c r="U425">
        <v>2890</v>
      </c>
      <c r="V425">
        <v>0</v>
      </c>
      <c r="W425" t="s">
        <v>35</v>
      </c>
      <c r="X425" t="s">
        <v>43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</row>
    <row r="426" spans="1:36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f>FLOOR(Table1_2[[#This Row],[MonthlyIncome]],1000)</f>
        <v>14000</v>
      </c>
      <c r="T426">
        <v>14118</v>
      </c>
      <c r="U426">
        <v>22102</v>
      </c>
      <c r="V426">
        <v>3</v>
      </c>
      <c r="W426" t="s">
        <v>35</v>
      </c>
      <c r="X426" t="s">
        <v>43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</row>
    <row r="427" spans="1:36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f>FLOOR(Table1_2[[#This Row],[MonthlyIncome]],1000)</f>
        <v>17000</v>
      </c>
      <c r="T427">
        <v>17046</v>
      </c>
      <c r="U427">
        <v>9314</v>
      </c>
      <c r="V427">
        <v>0</v>
      </c>
      <c r="W427" t="s">
        <v>35</v>
      </c>
      <c r="X427" t="s">
        <v>43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</row>
    <row r="428" spans="1:36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f>FLOOR(Table1_2[[#This Row],[MonthlyIncome]],1000)</f>
        <v>2000</v>
      </c>
      <c r="T428">
        <v>2564</v>
      </c>
      <c r="U428">
        <v>7181</v>
      </c>
      <c r="V428">
        <v>0</v>
      </c>
      <c r="W428" t="s">
        <v>35</v>
      </c>
      <c r="X428" t="s">
        <v>43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</row>
    <row r="429" spans="1:36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f>FLOOR(Table1_2[[#This Row],[MonthlyIncome]],1000)</f>
        <v>10000</v>
      </c>
      <c r="T429">
        <v>10266</v>
      </c>
      <c r="U429">
        <v>2845</v>
      </c>
      <c r="V429">
        <v>4</v>
      </c>
      <c r="W429" t="s">
        <v>35</v>
      </c>
      <c r="X429" t="s">
        <v>43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</row>
    <row r="430" spans="1:36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f>FLOOR(Table1_2[[#This Row],[MonthlyIncome]],1000)</f>
        <v>5000</v>
      </c>
      <c r="T430">
        <v>5070</v>
      </c>
      <c r="U430">
        <v>7389</v>
      </c>
      <c r="V430">
        <v>5</v>
      </c>
      <c r="W430" t="s">
        <v>35</v>
      </c>
      <c r="X430" t="s">
        <v>43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</row>
    <row r="431" spans="1:36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f>FLOOR(Table1_2[[#This Row],[MonthlyIncome]],1000)</f>
        <v>17000</v>
      </c>
      <c r="T431">
        <v>17861</v>
      </c>
      <c r="U431">
        <v>2288</v>
      </c>
      <c r="V431">
        <v>6</v>
      </c>
      <c r="W431" t="s">
        <v>35</v>
      </c>
      <c r="X431" t="s">
        <v>43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</row>
    <row r="432" spans="1:36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f>FLOOR(Table1_2[[#This Row],[MonthlyIncome]],1000)</f>
        <v>4000</v>
      </c>
      <c r="T432">
        <v>4230</v>
      </c>
      <c r="U432">
        <v>19225</v>
      </c>
      <c r="V432">
        <v>0</v>
      </c>
      <c r="W432" t="s">
        <v>35</v>
      </c>
      <c r="X432" t="s">
        <v>43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</row>
    <row r="433" spans="1:36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f>FLOOR(Table1_2[[#This Row],[MonthlyIncome]],1000)</f>
        <v>3000</v>
      </c>
      <c r="T433">
        <v>3780</v>
      </c>
      <c r="U433">
        <v>23428</v>
      </c>
      <c r="V433">
        <v>7</v>
      </c>
      <c r="W433" t="s">
        <v>35</v>
      </c>
      <c r="X433" t="s">
        <v>43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</row>
    <row r="434" spans="1:36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f>FLOOR(Table1_2[[#This Row],[MonthlyIncome]],1000)</f>
        <v>2000</v>
      </c>
      <c r="T434">
        <v>2768</v>
      </c>
      <c r="U434">
        <v>8416</v>
      </c>
      <c r="V434">
        <v>3</v>
      </c>
      <c r="W434" t="s">
        <v>35</v>
      </c>
      <c r="X434" t="s">
        <v>43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</row>
    <row r="435" spans="1:36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f>FLOOR(Table1_2[[#This Row],[MonthlyIncome]],1000)</f>
        <v>9000</v>
      </c>
      <c r="T435">
        <v>9071</v>
      </c>
      <c r="U435">
        <v>11563</v>
      </c>
      <c r="V435">
        <v>2</v>
      </c>
      <c r="W435" t="s">
        <v>35</v>
      </c>
      <c r="X435" t="s">
        <v>35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</row>
    <row r="436" spans="1:36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f>FLOOR(Table1_2[[#This Row],[MonthlyIncome]],1000)</f>
        <v>10000</v>
      </c>
      <c r="T436">
        <v>10648</v>
      </c>
      <c r="U436">
        <v>14394</v>
      </c>
      <c r="V436">
        <v>1</v>
      </c>
      <c r="W436" t="s">
        <v>35</v>
      </c>
      <c r="X436" t="s">
        <v>43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</row>
    <row r="437" spans="1:36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f>FLOOR(Table1_2[[#This Row],[MonthlyIncome]],1000)</f>
        <v>13000</v>
      </c>
      <c r="T437">
        <v>13610</v>
      </c>
      <c r="U437">
        <v>24619</v>
      </c>
      <c r="V437">
        <v>7</v>
      </c>
      <c r="W437" t="s">
        <v>35</v>
      </c>
      <c r="X437" t="s">
        <v>35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</row>
    <row r="438" spans="1:36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f>FLOOR(Table1_2[[#This Row],[MonthlyIncome]],1000)</f>
        <v>3000</v>
      </c>
      <c r="T438">
        <v>3408</v>
      </c>
      <c r="U438">
        <v>6705</v>
      </c>
      <c r="V438">
        <v>7</v>
      </c>
      <c r="W438" t="s">
        <v>35</v>
      </c>
      <c r="X438" t="s">
        <v>43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</row>
    <row r="439" spans="1:36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f>FLOOR(Table1_2[[#This Row],[MonthlyIncome]],1000)</f>
        <v>2000</v>
      </c>
      <c r="T439">
        <v>2983</v>
      </c>
      <c r="U439">
        <v>18398</v>
      </c>
      <c r="V439">
        <v>0</v>
      </c>
      <c r="W439" t="s">
        <v>35</v>
      </c>
      <c r="X439" t="s">
        <v>43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</row>
    <row r="440" spans="1:36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f>FLOOR(Table1_2[[#This Row],[MonthlyIncome]],1000)</f>
        <v>7000</v>
      </c>
      <c r="T440">
        <v>7632</v>
      </c>
      <c r="U440">
        <v>14295</v>
      </c>
      <c r="V440">
        <v>4</v>
      </c>
      <c r="W440" t="s">
        <v>35</v>
      </c>
      <c r="X440" t="s">
        <v>35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</row>
    <row r="441" spans="1:36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f>FLOOR(Table1_2[[#This Row],[MonthlyIncome]],1000)</f>
        <v>9000</v>
      </c>
      <c r="T441">
        <v>9824</v>
      </c>
      <c r="U441">
        <v>22908</v>
      </c>
      <c r="V441">
        <v>3</v>
      </c>
      <c r="W441" t="s">
        <v>35</v>
      </c>
      <c r="X441" t="s">
        <v>43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</row>
    <row r="442" spans="1:36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f>FLOOR(Table1_2[[#This Row],[MonthlyIncome]],1000)</f>
        <v>9000</v>
      </c>
      <c r="T442">
        <v>9950</v>
      </c>
      <c r="U442">
        <v>11533</v>
      </c>
      <c r="V442">
        <v>9</v>
      </c>
      <c r="W442" t="s">
        <v>35</v>
      </c>
      <c r="X442" t="s">
        <v>35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</row>
    <row r="443" spans="1:36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f>FLOOR(Table1_2[[#This Row],[MonthlyIncome]],1000)</f>
        <v>2000</v>
      </c>
      <c r="T443">
        <v>2093</v>
      </c>
      <c r="U443">
        <v>9260</v>
      </c>
      <c r="V443">
        <v>4</v>
      </c>
      <c r="W443" t="s">
        <v>35</v>
      </c>
      <c r="X443" t="s">
        <v>43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</row>
    <row r="444" spans="1:36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f>FLOOR(Table1_2[[#This Row],[MonthlyIncome]],1000)</f>
        <v>9000</v>
      </c>
      <c r="T444">
        <v>9980</v>
      </c>
      <c r="U444">
        <v>15318</v>
      </c>
      <c r="V444">
        <v>1</v>
      </c>
      <c r="W444" t="s">
        <v>35</v>
      </c>
      <c r="X444" t="s">
        <v>43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</row>
    <row r="445" spans="1:36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f>FLOOR(Table1_2[[#This Row],[MonthlyIncome]],1000)</f>
        <v>3000</v>
      </c>
      <c r="T445">
        <v>3894</v>
      </c>
      <c r="U445">
        <v>9129</v>
      </c>
      <c r="V445">
        <v>5</v>
      </c>
      <c r="W445" t="s">
        <v>35</v>
      </c>
      <c r="X445" t="s">
        <v>43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</row>
    <row r="446" spans="1:36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f>FLOOR(Table1_2[[#This Row],[MonthlyIncome]],1000)</f>
        <v>4000</v>
      </c>
      <c r="T446">
        <v>4051</v>
      </c>
      <c r="U446">
        <v>19658</v>
      </c>
      <c r="V446">
        <v>2</v>
      </c>
      <c r="W446" t="s">
        <v>35</v>
      </c>
      <c r="X446" t="s">
        <v>43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</row>
    <row r="447" spans="1:36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f>FLOOR(Table1_2[[#This Row],[MonthlyIncome]],1000)</f>
        <v>16000</v>
      </c>
      <c r="T447">
        <v>16835</v>
      </c>
      <c r="U447">
        <v>9873</v>
      </c>
      <c r="V447">
        <v>3</v>
      </c>
      <c r="W447" t="s">
        <v>35</v>
      </c>
      <c r="X447" t="s">
        <v>43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</row>
    <row r="448" spans="1:36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f>FLOOR(Table1_2[[#This Row],[MonthlyIncome]],1000)</f>
        <v>6000</v>
      </c>
      <c r="T448">
        <v>6230</v>
      </c>
      <c r="U448">
        <v>13430</v>
      </c>
      <c r="V448">
        <v>7</v>
      </c>
      <c r="W448" t="s">
        <v>35</v>
      </c>
      <c r="X448" t="s">
        <v>43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</row>
    <row r="449" spans="1:36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f>FLOOR(Table1_2[[#This Row],[MonthlyIncome]],1000)</f>
        <v>4000</v>
      </c>
      <c r="T449">
        <v>4717</v>
      </c>
      <c r="U449">
        <v>18659</v>
      </c>
      <c r="V449">
        <v>9</v>
      </c>
      <c r="W449" t="s">
        <v>35</v>
      </c>
      <c r="X449" t="s">
        <v>43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</row>
    <row r="450" spans="1:36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f>FLOOR(Table1_2[[#This Row],[MonthlyIncome]],1000)</f>
        <v>13000</v>
      </c>
      <c r="T450">
        <v>13237</v>
      </c>
      <c r="U450">
        <v>20364</v>
      </c>
      <c r="V450">
        <v>7</v>
      </c>
      <c r="W450" t="s">
        <v>35</v>
      </c>
      <c r="X450" t="s">
        <v>43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</row>
    <row r="451" spans="1:36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f>FLOOR(Table1_2[[#This Row],[MonthlyIncome]],1000)</f>
        <v>3000</v>
      </c>
      <c r="T451">
        <v>3755</v>
      </c>
      <c r="U451">
        <v>17872</v>
      </c>
      <c r="V451">
        <v>1</v>
      </c>
      <c r="W451" t="s">
        <v>35</v>
      </c>
      <c r="X451" t="s">
        <v>43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</row>
    <row r="452" spans="1:36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f>FLOOR(Table1_2[[#This Row],[MonthlyIncome]],1000)</f>
        <v>6000</v>
      </c>
      <c r="T452">
        <v>6582</v>
      </c>
      <c r="U452">
        <v>8346</v>
      </c>
      <c r="V452">
        <v>4</v>
      </c>
      <c r="W452" t="s">
        <v>35</v>
      </c>
      <c r="X452" t="s">
        <v>35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</row>
    <row r="453" spans="1:36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f>FLOOR(Table1_2[[#This Row],[MonthlyIncome]],1000)</f>
        <v>7000</v>
      </c>
      <c r="T453">
        <v>7406</v>
      </c>
      <c r="U453">
        <v>6950</v>
      </c>
      <c r="V453">
        <v>1</v>
      </c>
      <c r="W453" t="s">
        <v>35</v>
      </c>
      <c r="X453" t="s">
        <v>35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</row>
    <row r="454" spans="1:36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f>FLOOR(Table1_2[[#This Row],[MonthlyIncome]],1000)</f>
        <v>4000</v>
      </c>
      <c r="T454">
        <v>4805</v>
      </c>
      <c r="U454">
        <v>16177</v>
      </c>
      <c r="V454">
        <v>0</v>
      </c>
      <c r="W454" t="s">
        <v>35</v>
      </c>
      <c r="X454" t="s">
        <v>43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</row>
    <row r="455" spans="1:36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f>FLOOR(Table1_2[[#This Row],[MonthlyIncome]],1000)</f>
        <v>2000</v>
      </c>
      <c r="T455">
        <v>2741</v>
      </c>
      <c r="U455">
        <v>22808</v>
      </c>
      <c r="V455">
        <v>0</v>
      </c>
      <c r="W455" t="s">
        <v>35</v>
      </c>
      <c r="X455" t="s">
        <v>35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</row>
    <row r="456" spans="1:36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f>FLOOR(Table1_2[[#This Row],[MonthlyIncome]],1000)</f>
        <v>4000</v>
      </c>
      <c r="T456">
        <v>4262</v>
      </c>
      <c r="U456">
        <v>22645</v>
      </c>
      <c r="V456">
        <v>4</v>
      </c>
      <c r="W456" t="s">
        <v>35</v>
      </c>
      <c r="X456" t="s">
        <v>43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</row>
    <row r="457" spans="1:36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f>FLOOR(Table1_2[[#This Row],[MonthlyIncome]],1000)</f>
        <v>16000</v>
      </c>
      <c r="T457">
        <v>16184</v>
      </c>
      <c r="U457">
        <v>22578</v>
      </c>
      <c r="V457">
        <v>4</v>
      </c>
      <c r="W457" t="s">
        <v>35</v>
      </c>
      <c r="X457" t="s">
        <v>43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</row>
    <row r="458" spans="1:36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f>FLOOR(Table1_2[[#This Row],[MonthlyIncome]],1000)</f>
        <v>11000</v>
      </c>
      <c r="T458">
        <v>11557</v>
      </c>
      <c r="U458">
        <v>25291</v>
      </c>
      <c r="V458">
        <v>9</v>
      </c>
      <c r="W458" t="s">
        <v>35</v>
      </c>
      <c r="X458" t="s">
        <v>43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</row>
    <row r="459" spans="1:36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f>FLOOR(Table1_2[[#This Row],[MonthlyIncome]],1000)</f>
        <v>1000</v>
      </c>
      <c r="T459">
        <v>1878</v>
      </c>
      <c r="U459">
        <v>8059</v>
      </c>
      <c r="V459">
        <v>1</v>
      </c>
      <c r="W459" t="s">
        <v>35</v>
      </c>
      <c r="X459" t="s">
        <v>35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</row>
    <row r="460" spans="1:36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f>FLOOR(Table1_2[[#This Row],[MonthlyIncome]],1000)</f>
        <v>10000</v>
      </c>
      <c r="T460">
        <v>10932</v>
      </c>
      <c r="U460">
        <v>11373</v>
      </c>
      <c r="V460">
        <v>3</v>
      </c>
      <c r="W460" t="s">
        <v>35</v>
      </c>
      <c r="X460" t="s">
        <v>43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</row>
    <row r="461" spans="1:36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f>FLOOR(Table1_2[[#This Row],[MonthlyIncome]],1000)</f>
        <v>6000</v>
      </c>
      <c r="T461">
        <v>6811</v>
      </c>
      <c r="U461">
        <v>2112</v>
      </c>
      <c r="V461">
        <v>2</v>
      </c>
      <c r="W461" t="s">
        <v>35</v>
      </c>
      <c r="X461" t="s">
        <v>35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</row>
    <row r="462" spans="1:36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f>FLOOR(Table1_2[[#This Row],[MonthlyIncome]],1000)</f>
        <v>4000</v>
      </c>
      <c r="T462">
        <v>4306</v>
      </c>
      <c r="U462">
        <v>4267</v>
      </c>
      <c r="V462">
        <v>5</v>
      </c>
      <c r="W462" t="s">
        <v>35</v>
      </c>
      <c r="X462" t="s">
        <v>43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f>FLOOR(Table1_2[[#This Row],[MonthlyIncome]],1000)</f>
        <v>4000</v>
      </c>
      <c r="T463">
        <v>4859</v>
      </c>
      <c r="U463">
        <v>6698</v>
      </c>
      <c r="V463">
        <v>1</v>
      </c>
      <c r="W463" t="s">
        <v>35</v>
      </c>
      <c r="X463" t="s">
        <v>43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</row>
    <row r="464" spans="1:36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f>FLOOR(Table1_2[[#This Row],[MonthlyIncome]],1000)</f>
        <v>5000</v>
      </c>
      <c r="T464">
        <v>5337</v>
      </c>
      <c r="U464">
        <v>19921</v>
      </c>
      <c r="V464">
        <v>1</v>
      </c>
      <c r="W464" t="s">
        <v>35</v>
      </c>
      <c r="X464" t="s">
        <v>43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</row>
    <row r="465" spans="1:36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f>FLOOR(Table1_2[[#This Row],[MonthlyIncome]],1000)</f>
        <v>2000</v>
      </c>
      <c r="T465">
        <v>2340</v>
      </c>
      <c r="U465">
        <v>23213</v>
      </c>
      <c r="V465">
        <v>1</v>
      </c>
      <c r="W465" t="s">
        <v>35</v>
      </c>
      <c r="X465" t="s">
        <v>35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</row>
    <row r="466" spans="1:36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f>FLOOR(Table1_2[[#This Row],[MonthlyIncome]],1000)</f>
        <v>7000</v>
      </c>
      <c r="T466">
        <v>7491</v>
      </c>
      <c r="U466">
        <v>23848</v>
      </c>
      <c r="V466">
        <v>4</v>
      </c>
      <c r="W466" t="s">
        <v>35</v>
      </c>
      <c r="X466" t="s">
        <v>43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</row>
    <row r="467" spans="1:36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f>FLOOR(Table1_2[[#This Row],[MonthlyIncome]],1000)</f>
        <v>10000</v>
      </c>
      <c r="T467">
        <v>10527</v>
      </c>
      <c r="U467">
        <v>8984</v>
      </c>
      <c r="V467">
        <v>5</v>
      </c>
      <c r="W467" t="s">
        <v>35</v>
      </c>
      <c r="X467" t="s">
        <v>43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</row>
    <row r="468" spans="1:36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f>FLOOR(Table1_2[[#This Row],[MonthlyIncome]],1000)</f>
        <v>16000</v>
      </c>
      <c r="T468">
        <v>16595</v>
      </c>
      <c r="U468">
        <v>5626</v>
      </c>
      <c r="V468">
        <v>7</v>
      </c>
      <c r="W468" t="s">
        <v>35</v>
      </c>
      <c r="X468" t="s">
        <v>43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</row>
    <row r="469" spans="1:36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f>FLOOR(Table1_2[[#This Row],[MonthlyIncome]],1000)</f>
        <v>8000</v>
      </c>
      <c r="T469">
        <v>8834</v>
      </c>
      <c r="U469">
        <v>24666</v>
      </c>
      <c r="V469">
        <v>1</v>
      </c>
      <c r="W469" t="s">
        <v>35</v>
      </c>
      <c r="X469" t="s">
        <v>43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</row>
    <row r="470" spans="1:36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f>FLOOR(Table1_2[[#This Row],[MonthlyIncome]],1000)</f>
        <v>5000</v>
      </c>
      <c r="T470">
        <v>5577</v>
      </c>
      <c r="U470">
        <v>22087</v>
      </c>
      <c r="V470">
        <v>3</v>
      </c>
      <c r="W470" t="s">
        <v>35</v>
      </c>
      <c r="X470" t="s">
        <v>35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</row>
    <row r="471" spans="1:36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f>FLOOR(Table1_2[[#This Row],[MonthlyIncome]],1000)</f>
        <v>4000</v>
      </c>
      <c r="T471">
        <v>4707</v>
      </c>
      <c r="U471">
        <v>23914</v>
      </c>
      <c r="V471">
        <v>8</v>
      </c>
      <c r="W471" t="s">
        <v>35</v>
      </c>
      <c r="X471" t="s">
        <v>43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</row>
    <row r="472" spans="1:36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f>FLOOR(Table1_2[[#This Row],[MonthlyIncome]],1000)</f>
        <v>2000</v>
      </c>
      <c r="T472">
        <v>2400</v>
      </c>
      <c r="U472">
        <v>5530</v>
      </c>
      <c r="V472">
        <v>0</v>
      </c>
      <c r="W472" t="s">
        <v>35</v>
      </c>
      <c r="X472" t="s">
        <v>43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</row>
    <row r="473" spans="1:36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f>FLOOR(Table1_2[[#This Row],[MonthlyIncome]],1000)</f>
        <v>9000</v>
      </c>
      <c r="T473">
        <v>9824</v>
      </c>
      <c r="U473">
        <v>22174</v>
      </c>
      <c r="V473">
        <v>3</v>
      </c>
      <c r="W473" t="s">
        <v>35</v>
      </c>
      <c r="X473" t="s">
        <v>43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</row>
    <row r="474" spans="1:36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f>FLOOR(Table1_2[[#This Row],[MonthlyIncome]],1000)</f>
        <v>6000</v>
      </c>
      <c r="T474">
        <v>6447</v>
      </c>
      <c r="U474">
        <v>15701</v>
      </c>
      <c r="V474">
        <v>6</v>
      </c>
      <c r="W474" t="s">
        <v>35</v>
      </c>
      <c r="X474" t="s">
        <v>43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</row>
    <row r="475" spans="1:36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f>FLOOR(Table1_2[[#This Row],[MonthlyIncome]],1000)</f>
        <v>19000</v>
      </c>
      <c r="T475">
        <v>19502</v>
      </c>
      <c r="U475">
        <v>2125</v>
      </c>
      <c r="V475">
        <v>1</v>
      </c>
      <c r="W475" t="s">
        <v>35</v>
      </c>
      <c r="X475" t="s">
        <v>35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</row>
    <row r="476" spans="1:36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f>FLOOR(Table1_2[[#This Row],[MonthlyIncome]],1000)</f>
        <v>2000</v>
      </c>
      <c r="T476">
        <v>2725</v>
      </c>
      <c r="U476">
        <v>21630</v>
      </c>
      <c r="V476">
        <v>1</v>
      </c>
      <c r="W476" t="s">
        <v>35</v>
      </c>
      <c r="X476" t="s">
        <v>35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</row>
    <row r="477" spans="1:36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f>FLOOR(Table1_2[[#This Row],[MonthlyIncome]],1000)</f>
        <v>6000</v>
      </c>
      <c r="T477">
        <v>6272</v>
      </c>
      <c r="U477">
        <v>7428</v>
      </c>
      <c r="V477">
        <v>1</v>
      </c>
      <c r="W477" t="s">
        <v>35</v>
      </c>
      <c r="X477" t="s">
        <v>43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</row>
    <row r="478" spans="1:36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f>FLOOR(Table1_2[[#This Row],[MonthlyIncome]],1000)</f>
        <v>2000</v>
      </c>
      <c r="T478">
        <v>2127</v>
      </c>
      <c r="U478">
        <v>9100</v>
      </c>
      <c r="V478">
        <v>1</v>
      </c>
      <c r="W478" t="s">
        <v>35</v>
      </c>
      <c r="X478" t="s">
        <v>43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</row>
    <row r="479" spans="1:36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f>FLOOR(Table1_2[[#This Row],[MonthlyIncome]],1000)</f>
        <v>18000</v>
      </c>
      <c r="T479">
        <v>18200</v>
      </c>
      <c r="U479">
        <v>7999</v>
      </c>
      <c r="V479">
        <v>1</v>
      </c>
      <c r="W479" t="s">
        <v>35</v>
      </c>
      <c r="X479" t="s">
        <v>43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</row>
    <row r="480" spans="1:36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f>FLOOR(Table1_2[[#This Row],[MonthlyIncome]],1000)</f>
        <v>2000</v>
      </c>
      <c r="T480">
        <v>2096</v>
      </c>
      <c r="U480">
        <v>26376</v>
      </c>
      <c r="V480">
        <v>1</v>
      </c>
      <c r="W480" t="s">
        <v>35</v>
      </c>
      <c r="X480" t="s">
        <v>43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</row>
    <row r="481" spans="1:36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f>FLOOR(Table1_2[[#This Row],[MonthlyIncome]],1000)</f>
        <v>2000</v>
      </c>
      <c r="T481">
        <v>2886</v>
      </c>
      <c r="U481">
        <v>14168</v>
      </c>
      <c r="V481">
        <v>1</v>
      </c>
      <c r="W481" t="s">
        <v>35</v>
      </c>
      <c r="X481" t="s">
        <v>35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</row>
    <row r="482" spans="1:36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f>FLOOR(Table1_2[[#This Row],[MonthlyIncome]],1000)</f>
        <v>2000</v>
      </c>
      <c r="T482">
        <v>2033</v>
      </c>
      <c r="U482">
        <v>14470</v>
      </c>
      <c r="V482">
        <v>1</v>
      </c>
      <c r="W482" t="s">
        <v>35</v>
      </c>
      <c r="X482" t="s">
        <v>43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</row>
    <row r="483" spans="1:36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f>FLOOR(Table1_2[[#This Row],[MonthlyIncome]],1000)</f>
        <v>3000</v>
      </c>
      <c r="T483">
        <v>3622</v>
      </c>
      <c r="U483">
        <v>22794</v>
      </c>
      <c r="V483">
        <v>1</v>
      </c>
      <c r="W483" t="s">
        <v>35</v>
      </c>
      <c r="X483" t="s">
        <v>35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</row>
    <row r="484" spans="1:36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f>FLOOR(Table1_2[[#This Row],[MonthlyIncome]],1000)</f>
        <v>4000</v>
      </c>
      <c r="T484">
        <v>4233</v>
      </c>
      <c r="U484">
        <v>11512</v>
      </c>
      <c r="V484">
        <v>2</v>
      </c>
      <c r="W484" t="s">
        <v>35</v>
      </c>
      <c r="X484" t="s">
        <v>43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</row>
    <row r="485" spans="1:36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f>FLOOR(Table1_2[[#This Row],[MonthlyIncome]],1000)</f>
        <v>3000</v>
      </c>
      <c r="T485">
        <v>3681</v>
      </c>
      <c r="U485">
        <v>14004</v>
      </c>
      <c r="V485">
        <v>4</v>
      </c>
      <c r="W485" t="s">
        <v>35</v>
      </c>
      <c r="X485" t="s">
        <v>43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</row>
    <row r="486" spans="1:36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f>FLOOR(Table1_2[[#This Row],[MonthlyIncome]],1000)</f>
        <v>5000</v>
      </c>
      <c r="T486">
        <v>5460</v>
      </c>
      <c r="U486">
        <v>6219</v>
      </c>
      <c r="V486">
        <v>4</v>
      </c>
      <c r="W486" t="s">
        <v>35</v>
      </c>
      <c r="X486" t="s">
        <v>43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</row>
    <row r="487" spans="1:36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f>FLOOR(Table1_2[[#This Row],[MonthlyIncome]],1000)</f>
        <v>2000</v>
      </c>
      <c r="T487">
        <v>2187</v>
      </c>
      <c r="U487">
        <v>5013</v>
      </c>
      <c r="V487">
        <v>0</v>
      </c>
      <c r="W487" t="s">
        <v>35</v>
      </c>
      <c r="X487" t="s">
        <v>43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</row>
    <row r="488" spans="1:36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f>FLOOR(Table1_2[[#This Row],[MonthlyIncome]],1000)</f>
        <v>9000</v>
      </c>
      <c r="T488">
        <v>9602</v>
      </c>
      <c r="U488">
        <v>3010</v>
      </c>
      <c r="V488">
        <v>4</v>
      </c>
      <c r="W488" t="s">
        <v>35</v>
      </c>
      <c r="X488" t="s">
        <v>35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</row>
    <row r="489" spans="1:36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f>FLOOR(Table1_2[[#This Row],[MonthlyIncome]],1000)</f>
        <v>2000</v>
      </c>
      <c r="T489">
        <v>2836</v>
      </c>
      <c r="U489">
        <v>11757</v>
      </c>
      <c r="V489">
        <v>1</v>
      </c>
      <c r="W489" t="s">
        <v>35</v>
      </c>
      <c r="X489" t="s">
        <v>43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</row>
    <row r="490" spans="1:36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f>FLOOR(Table1_2[[#This Row],[MonthlyIncome]],1000)</f>
        <v>4000</v>
      </c>
      <c r="T490">
        <v>4089</v>
      </c>
      <c r="U490">
        <v>5718</v>
      </c>
      <c r="V490">
        <v>1</v>
      </c>
      <c r="W490" t="s">
        <v>35</v>
      </c>
      <c r="X490" t="s">
        <v>43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</row>
    <row r="491" spans="1:36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f>FLOOR(Table1_2[[#This Row],[MonthlyIncome]],1000)</f>
        <v>16000</v>
      </c>
      <c r="T491">
        <v>16627</v>
      </c>
      <c r="U491">
        <v>2671</v>
      </c>
      <c r="V491">
        <v>4</v>
      </c>
      <c r="W491" t="s">
        <v>35</v>
      </c>
      <c r="X491" t="s">
        <v>35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</row>
    <row r="492" spans="1:36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f>FLOOR(Table1_2[[#This Row],[MonthlyIncome]],1000)</f>
        <v>2000</v>
      </c>
      <c r="T492">
        <v>2619</v>
      </c>
      <c r="U492">
        <v>14561</v>
      </c>
      <c r="V492">
        <v>3</v>
      </c>
      <c r="W492" t="s">
        <v>35</v>
      </c>
      <c r="X492" t="s">
        <v>43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</row>
    <row r="493" spans="1:36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f>FLOOR(Table1_2[[#This Row],[MonthlyIncome]],1000)</f>
        <v>5000</v>
      </c>
      <c r="T493">
        <v>5679</v>
      </c>
      <c r="U493">
        <v>19627</v>
      </c>
      <c r="V493">
        <v>3</v>
      </c>
      <c r="W493" t="s">
        <v>35</v>
      </c>
      <c r="X493" t="s">
        <v>35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</row>
    <row r="494" spans="1:36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f>FLOOR(Table1_2[[#This Row],[MonthlyIncome]],1000)</f>
        <v>15000</v>
      </c>
      <c r="T494">
        <v>15402</v>
      </c>
      <c r="U494">
        <v>17997</v>
      </c>
      <c r="V494">
        <v>7</v>
      </c>
      <c r="W494" t="s">
        <v>35</v>
      </c>
      <c r="X494" t="s">
        <v>43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</row>
    <row r="495" spans="1:36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f>FLOOR(Table1_2[[#This Row],[MonthlyIncome]],1000)</f>
        <v>5000</v>
      </c>
      <c r="T495">
        <v>5985</v>
      </c>
      <c r="U495">
        <v>26894</v>
      </c>
      <c r="V495">
        <v>4</v>
      </c>
      <c r="W495" t="s">
        <v>35</v>
      </c>
      <c r="X495" t="s">
        <v>43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</row>
    <row r="496" spans="1:36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f>FLOOR(Table1_2[[#This Row],[MonthlyIncome]],1000)</f>
        <v>2000</v>
      </c>
      <c r="T496">
        <v>2579</v>
      </c>
      <c r="U496">
        <v>2912</v>
      </c>
      <c r="V496">
        <v>1</v>
      </c>
      <c r="W496" t="s">
        <v>35</v>
      </c>
      <c r="X496" t="s">
        <v>35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</row>
    <row r="497" spans="1:36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f>FLOOR(Table1_2[[#This Row],[MonthlyIncome]],1000)</f>
        <v>3000</v>
      </c>
      <c r="T497">
        <v>3041</v>
      </c>
      <c r="U497">
        <v>16346</v>
      </c>
      <c r="V497">
        <v>0</v>
      </c>
      <c r="W497" t="s">
        <v>35</v>
      </c>
      <c r="X497" t="s">
        <v>43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</row>
    <row r="498" spans="1:36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f>FLOOR(Table1_2[[#This Row],[MonthlyIncome]],1000)</f>
        <v>3000</v>
      </c>
      <c r="T498">
        <v>3447</v>
      </c>
      <c r="U498">
        <v>24444</v>
      </c>
      <c r="V498">
        <v>1</v>
      </c>
      <c r="W498" t="s">
        <v>35</v>
      </c>
      <c r="X498" t="s">
        <v>43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</row>
    <row r="499" spans="1:36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f>FLOOR(Table1_2[[#This Row],[MonthlyIncome]],1000)</f>
        <v>19000</v>
      </c>
      <c r="T499">
        <v>19513</v>
      </c>
      <c r="U499">
        <v>9358</v>
      </c>
      <c r="V499">
        <v>4</v>
      </c>
      <c r="W499" t="s">
        <v>35</v>
      </c>
      <c r="X499" t="s">
        <v>35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</row>
    <row r="500" spans="1:36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f>FLOOR(Table1_2[[#This Row],[MonthlyIncome]],1000)</f>
        <v>2000</v>
      </c>
      <c r="T500">
        <v>2773</v>
      </c>
      <c r="U500">
        <v>12145</v>
      </c>
      <c r="V500">
        <v>0</v>
      </c>
      <c r="W500" t="s">
        <v>35</v>
      </c>
      <c r="X500" t="s">
        <v>43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</row>
    <row r="501" spans="1:36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f>FLOOR(Table1_2[[#This Row],[MonthlyIncome]],1000)</f>
        <v>7000</v>
      </c>
      <c r="T501">
        <v>7104</v>
      </c>
      <c r="U501">
        <v>20431</v>
      </c>
      <c r="V501">
        <v>0</v>
      </c>
      <c r="W501" t="s">
        <v>35</v>
      </c>
      <c r="X501" t="s">
        <v>43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</row>
    <row r="502" spans="1:36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f>FLOOR(Table1_2[[#This Row],[MonthlyIncome]],1000)</f>
        <v>6000</v>
      </c>
      <c r="T502">
        <v>6322</v>
      </c>
      <c r="U502">
        <v>18089</v>
      </c>
      <c r="V502">
        <v>1</v>
      </c>
      <c r="W502" t="s">
        <v>35</v>
      </c>
      <c r="X502" t="s">
        <v>35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</row>
    <row r="503" spans="1:36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f>FLOOR(Table1_2[[#This Row],[MonthlyIncome]],1000)</f>
        <v>2000</v>
      </c>
      <c r="T503">
        <v>2083</v>
      </c>
      <c r="U503">
        <v>22653</v>
      </c>
      <c r="V503">
        <v>1</v>
      </c>
      <c r="W503" t="s">
        <v>35</v>
      </c>
      <c r="X503" t="s">
        <v>43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</row>
    <row r="504" spans="1:36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f>FLOOR(Table1_2[[#This Row],[MonthlyIncome]],1000)</f>
        <v>8000</v>
      </c>
      <c r="T504">
        <v>8381</v>
      </c>
      <c r="U504">
        <v>7507</v>
      </c>
      <c r="V504">
        <v>7</v>
      </c>
      <c r="W504" t="s">
        <v>35</v>
      </c>
      <c r="X504" t="s">
        <v>43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</row>
    <row r="505" spans="1:36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f>FLOOR(Table1_2[[#This Row],[MonthlyIncome]],1000)</f>
        <v>2000</v>
      </c>
      <c r="T505">
        <v>2691</v>
      </c>
      <c r="U505">
        <v>7660</v>
      </c>
      <c r="V505">
        <v>1</v>
      </c>
      <c r="W505" t="s">
        <v>35</v>
      </c>
      <c r="X505" t="s">
        <v>43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</row>
    <row r="506" spans="1:36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f>FLOOR(Table1_2[[#This Row],[MonthlyIncome]],1000)</f>
        <v>4000</v>
      </c>
      <c r="T506">
        <v>4286</v>
      </c>
      <c r="U506">
        <v>5630</v>
      </c>
      <c r="V506">
        <v>2</v>
      </c>
      <c r="W506" t="s">
        <v>35</v>
      </c>
      <c r="X506" t="s">
        <v>43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</row>
    <row r="507" spans="1:36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f>FLOOR(Table1_2[[#This Row],[MonthlyIncome]],1000)</f>
        <v>2000</v>
      </c>
      <c r="T507">
        <v>2659</v>
      </c>
      <c r="U507">
        <v>17759</v>
      </c>
      <c r="V507">
        <v>1</v>
      </c>
      <c r="W507" t="s">
        <v>35</v>
      </c>
      <c r="X507" t="s">
        <v>35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</row>
    <row r="508" spans="1:36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f>FLOOR(Table1_2[[#This Row],[MonthlyIncome]],1000)</f>
        <v>9000</v>
      </c>
      <c r="T508">
        <v>9434</v>
      </c>
      <c r="U508">
        <v>9606</v>
      </c>
      <c r="V508">
        <v>1</v>
      </c>
      <c r="W508" t="s">
        <v>35</v>
      </c>
      <c r="X508" t="s">
        <v>43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</row>
    <row r="509" spans="1:36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f>FLOOR(Table1_2[[#This Row],[MonthlyIncome]],1000)</f>
        <v>5000</v>
      </c>
      <c r="T509">
        <v>5561</v>
      </c>
      <c r="U509">
        <v>3487</v>
      </c>
      <c r="V509">
        <v>1</v>
      </c>
      <c r="W509" t="s">
        <v>35</v>
      </c>
      <c r="X509" t="s">
        <v>43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</row>
    <row r="510" spans="1:36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f>FLOOR(Table1_2[[#This Row],[MonthlyIncome]],1000)</f>
        <v>6000</v>
      </c>
      <c r="T510">
        <v>6646</v>
      </c>
      <c r="U510">
        <v>19368</v>
      </c>
      <c r="V510">
        <v>1</v>
      </c>
      <c r="W510" t="s">
        <v>35</v>
      </c>
      <c r="X510" t="s">
        <v>43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</row>
    <row r="511" spans="1:36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f>FLOOR(Table1_2[[#This Row],[MonthlyIncome]],1000)</f>
        <v>7000</v>
      </c>
      <c r="T511">
        <v>7725</v>
      </c>
      <c r="U511">
        <v>5335</v>
      </c>
      <c r="V511">
        <v>3</v>
      </c>
      <c r="W511" t="s">
        <v>35</v>
      </c>
      <c r="X511" t="s">
        <v>43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</row>
    <row r="512" spans="1:36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f>FLOOR(Table1_2[[#This Row],[MonthlyIncome]],1000)</f>
        <v>10000</v>
      </c>
      <c r="T512">
        <v>10725</v>
      </c>
      <c r="U512">
        <v>6729</v>
      </c>
      <c r="V512">
        <v>2</v>
      </c>
      <c r="W512" t="s">
        <v>35</v>
      </c>
      <c r="X512" t="s">
        <v>43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</row>
    <row r="513" spans="1:36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f>FLOOR(Table1_2[[#This Row],[MonthlyIncome]],1000)</f>
        <v>8000</v>
      </c>
      <c r="T513">
        <v>8847</v>
      </c>
      <c r="U513">
        <v>13934</v>
      </c>
      <c r="V513">
        <v>2</v>
      </c>
      <c r="W513" t="s">
        <v>35</v>
      </c>
      <c r="X513" t="s">
        <v>35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</row>
    <row r="514" spans="1:36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f>FLOOR(Table1_2[[#This Row],[MonthlyIncome]],1000)</f>
        <v>2000</v>
      </c>
      <c r="T514">
        <v>2045</v>
      </c>
      <c r="U514">
        <v>15174</v>
      </c>
      <c r="V514">
        <v>0</v>
      </c>
      <c r="W514" t="s">
        <v>35</v>
      </c>
      <c r="X514" t="s">
        <v>43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</row>
    <row r="515" spans="1:36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f>FLOOR(Table1_2[[#This Row],[MonthlyIncome]],1000)</f>
        <v>1000</v>
      </c>
      <c r="T515">
        <v>1009</v>
      </c>
      <c r="U515">
        <v>26999</v>
      </c>
      <c r="V515">
        <v>1</v>
      </c>
      <c r="W515" t="s">
        <v>35</v>
      </c>
      <c r="X515" t="s">
        <v>35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</row>
    <row r="516" spans="1:36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f>FLOOR(Table1_2[[#This Row],[MonthlyIncome]],1000)</f>
        <v>3000</v>
      </c>
      <c r="T516">
        <v>3348</v>
      </c>
      <c r="U516">
        <v>3164</v>
      </c>
      <c r="V516">
        <v>1</v>
      </c>
      <c r="W516" t="s">
        <v>35</v>
      </c>
      <c r="X516" t="s">
        <v>35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</row>
    <row r="517" spans="1:36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f>FLOOR(Table1_2[[#This Row],[MonthlyIncome]],1000)</f>
        <v>1000</v>
      </c>
      <c r="T517">
        <v>1281</v>
      </c>
      <c r="U517">
        <v>16900</v>
      </c>
      <c r="V517">
        <v>1</v>
      </c>
      <c r="W517" t="s">
        <v>35</v>
      </c>
      <c r="X517" t="s">
        <v>43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</row>
    <row r="518" spans="1:36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f>FLOOR(Table1_2[[#This Row],[MonthlyIncome]],1000)</f>
        <v>2000</v>
      </c>
      <c r="T518">
        <v>2819</v>
      </c>
      <c r="U518">
        <v>8544</v>
      </c>
      <c r="V518">
        <v>2</v>
      </c>
      <c r="W518" t="s">
        <v>35</v>
      </c>
      <c r="X518" t="s">
        <v>43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</row>
    <row r="519" spans="1:36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f>FLOOR(Table1_2[[#This Row],[MonthlyIncome]],1000)</f>
        <v>4000</v>
      </c>
      <c r="T519">
        <v>4851</v>
      </c>
      <c r="U519">
        <v>15678</v>
      </c>
      <c r="V519">
        <v>0</v>
      </c>
      <c r="W519" t="s">
        <v>35</v>
      </c>
      <c r="X519" t="s">
        <v>43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</row>
    <row r="520" spans="1:36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f>FLOOR(Table1_2[[#This Row],[MonthlyIncome]],1000)</f>
        <v>4000</v>
      </c>
      <c r="T520">
        <v>4028</v>
      </c>
      <c r="U520">
        <v>7791</v>
      </c>
      <c r="V520">
        <v>0</v>
      </c>
      <c r="W520" t="s">
        <v>35</v>
      </c>
      <c r="X520" t="s">
        <v>43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</row>
    <row r="521" spans="1:36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f>FLOOR(Table1_2[[#This Row],[MonthlyIncome]],1000)</f>
        <v>2000</v>
      </c>
      <c r="T521">
        <v>2720</v>
      </c>
      <c r="U521">
        <v>18959</v>
      </c>
      <c r="V521">
        <v>1</v>
      </c>
      <c r="W521" t="s">
        <v>35</v>
      </c>
      <c r="X521" t="s">
        <v>43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</row>
    <row r="522" spans="1:36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f>FLOOR(Table1_2[[#This Row],[MonthlyIncome]],1000)</f>
        <v>8000</v>
      </c>
      <c r="T522">
        <v>8120</v>
      </c>
      <c r="U522">
        <v>18597</v>
      </c>
      <c r="V522">
        <v>3</v>
      </c>
      <c r="W522" t="s">
        <v>35</v>
      </c>
      <c r="X522" t="s">
        <v>43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f>FLOOR(Table1_2[[#This Row],[MonthlyIncome]],1000)</f>
        <v>4000</v>
      </c>
      <c r="T523">
        <v>4647</v>
      </c>
      <c r="U523">
        <v>16673</v>
      </c>
      <c r="V523">
        <v>1</v>
      </c>
      <c r="W523" t="s">
        <v>35</v>
      </c>
      <c r="X523" t="s">
        <v>35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</row>
    <row r="524" spans="1:36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f>FLOOR(Table1_2[[#This Row],[MonthlyIncome]],1000)</f>
        <v>4000</v>
      </c>
      <c r="T524">
        <v>4680</v>
      </c>
      <c r="U524">
        <v>15232</v>
      </c>
      <c r="V524">
        <v>3</v>
      </c>
      <c r="W524" t="s">
        <v>35</v>
      </c>
      <c r="X524" t="s">
        <v>43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</row>
    <row r="525" spans="1:36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f>FLOOR(Table1_2[[#This Row],[MonthlyIncome]],1000)</f>
        <v>3000</v>
      </c>
      <c r="T525">
        <v>3221</v>
      </c>
      <c r="U525">
        <v>3297</v>
      </c>
      <c r="V525">
        <v>1</v>
      </c>
      <c r="W525" t="s">
        <v>35</v>
      </c>
      <c r="X525" t="s">
        <v>35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</row>
    <row r="526" spans="1:36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f>FLOOR(Table1_2[[#This Row],[MonthlyIncome]],1000)</f>
        <v>8000</v>
      </c>
      <c r="T526">
        <v>8621</v>
      </c>
      <c r="U526">
        <v>17654</v>
      </c>
      <c r="V526">
        <v>1</v>
      </c>
      <c r="W526" t="s">
        <v>35</v>
      </c>
      <c r="X526" t="s">
        <v>43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</row>
    <row r="527" spans="1:36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f>FLOOR(Table1_2[[#This Row],[MonthlyIncome]],1000)</f>
        <v>4000</v>
      </c>
      <c r="T527">
        <v>4577</v>
      </c>
      <c r="U527">
        <v>24785</v>
      </c>
      <c r="V527">
        <v>9</v>
      </c>
      <c r="W527" t="s">
        <v>35</v>
      </c>
      <c r="X527" t="s">
        <v>43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</row>
    <row r="528" spans="1:36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f>FLOOR(Table1_2[[#This Row],[MonthlyIncome]],1000)</f>
        <v>4000</v>
      </c>
      <c r="T528">
        <v>4553</v>
      </c>
      <c r="U528">
        <v>20978</v>
      </c>
      <c r="V528">
        <v>1</v>
      </c>
      <c r="W528" t="s">
        <v>35</v>
      </c>
      <c r="X528" t="s">
        <v>43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</row>
    <row r="529" spans="1:36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f>FLOOR(Table1_2[[#This Row],[MonthlyIncome]],1000)</f>
        <v>5000</v>
      </c>
      <c r="T529">
        <v>5396</v>
      </c>
      <c r="U529">
        <v>21703</v>
      </c>
      <c r="V529">
        <v>1</v>
      </c>
      <c r="W529" t="s">
        <v>35</v>
      </c>
      <c r="X529" t="s">
        <v>43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</row>
    <row r="530" spans="1:36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f>FLOOR(Table1_2[[#This Row],[MonthlyIncome]],1000)</f>
        <v>6000</v>
      </c>
      <c r="T530">
        <v>6796</v>
      </c>
      <c r="U530">
        <v>23452</v>
      </c>
      <c r="V530">
        <v>3</v>
      </c>
      <c r="W530" t="s">
        <v>35</v>
      </c>
      <c r="X530" t="s">
        <v>35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</row>
    <row r="531" spans="1:36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f>FLOOR(Table1_2[[#This Row],[MonthlyIncome]],1000)</f>
        <v>7000</v>
      </c>
      <c r="T531">
        <v>7625</v>
      </c>
      <c r="U531">
        <v>19383</v>
      </c>
      <c r="V531">
        <v>0</v>
      </c>
      <c r="W531" t="s">
        <v>35</v>
      </c>
      <c r="X531" t="s">
        <v>43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</row>
    <row r="532" spans="1:36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f>FLOOR(Table1_2[[#This Row],[MonthlyIncome]],1000)</f>
        <v>7000</v>
      </c>
      <c r="T532">
        <v>7412</v>
      </c>
      <c r="U532">
        <v>6009</v>
      </c>
      <c r="V532">
        <v>1</v>
      </c>
      <c r="W532" t="s">
        <v>35</v>
      </c>
      <c r="X532" t="s">
        <v>43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</row>
    <row r="533" spans="1:36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f>FLOOR(Table1_2[[#This Row],[MonthlyIncome]],1000)</f>
        <v>11000</v>
      </c>
      <c r="T533">
        <v>11159</v>
      </c>
      <c r="U533">
        <v>19373</v>
      </c>
      <c r="V533">
        <v>3</v>
      </c>
      <c r="W533" t="s">
        <v>35</v>
      </c>
      <c r="X533" t="s">
        <v>43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</row>
    <row r="534" spans="1:36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f>FLOOR(Table1_2[[#This Row],[MonthlyIncome]],1000)</f>
        <v>4000</v>
      </c>
      <c r="T534">
        <v>4960</v>
      </c>
      <c r="U534">
        <v>11825</v>
      </c>
      <c r="V534">
        <v>2</v>
      </c>
      <c r="W534" t="s">
        <v>35</v>
      </c>
      <c r="X534" t="s">
        <v>43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</row>
    <row r="535" spans="1:36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f>FLOOR(Table1_2[[#This Row],[MonthlyIncome]],1000)</f>
        <v>10000</v>
      </c>
      <c r="T535">
        <v>10475</v>
      </c>
      <c r="U535">
        <v>23772</v>
      </c>
      <c r="V535">
        <v>5</v>
      </c>
      <c r="W535" t="s">
        <v>35</v>
      </c>
      <c r="X535" t="s">
        <v>35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</row>
    <row r="536" spans="1:36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f>FLOOR(Table1_2[[#This Row],[MonthlyIncome]],1000)</f>
        <v>14000</v>
      </c>
      <c r="T536">
        <v>14814</v>
      </c>
      <c r="U536">
        <v>13514</v>
      </c>
      <c r="V536">
        <v>3</v>
      </c>
      <c r="W536" t="s">
        <v>35</v>
      </c>
      <c r="X536" t="s">
        <v>43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</row>
    <row r="537" spans="1:36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f>FLOOR(Table1_2[[#This Row],[MonthlyIncome]],1000)</f>
        <v>19000</v>
      </c>
      <c r="T537">
        <v>19141</v>
      </c>
      <c r="U537">
        <v>8861</v>
      </c>
      <c r="V537">
        <v>3</v>
      </c>
      <c r="W537" t="s">
        <v>35</v>
      </c>
      <c r="X537" t="s">
        <v>43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</row>
    <row r="538" spans="1:36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f>FLOOR(Table1_2[[#This Row],[MonthlyIncome]],1000)</f>
        <v>5000</v>
      </c>
      <c r="T538">
        <v>5405</v>
      </c>
      <c r="U538">
        <v>11924</v>
      </c>
      <c r="V538">
        <v>8</v>
      </c>
      <c r="W538" t="s">
        <v>35</v>
      </c>
      <c r="X538" t="s">
        <v>43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</row>
    <row r="539" spans="1:36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f>FLOOR(Table1_2[[#This Row],[MonthlyIncome]],1000)</f>
        <v>8000</v>
      </c>
      <c r="T539">
        <v>8793</v>
      </c>
      <c r="U539">
        <v>4809</v>
      </c>
      <c r="V539">
        <v>1</v>
      </c>
      <c r="W539" t="s">
        <v>35</v>
      </c>
      <c r="X539" t="s">
        <v>43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</row>
    <row r="540" spans="1:36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f>FLOOR(Table1_2[[#This Row],[MonthlyIncome]],1000)</f>
        <v>19000</v>
      </c>
      <c r="T540">
        <v>19189</v>
      </c>
      <c r="U540">
        <v>19562</v>
      </c>
      <c r="V540">
        <v>1</v>
      </c>
      <c r="W540" t="s">
        <v>35</v>
      </c>
      <c r="X540" t="s">
        <v>43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</row>
    <row r="541" spans="1:36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f>FLOOR(Table1_2[[#This Row],[MonthlyIncome]],1000)</f>
        <v>3000</v>
      </c>
      <c r="T541">
        <v>3875</v>
      </c>
      <c r="U541">
        <v>9983</v>
      </c>
      <c r="V541">
        <v>7</v>
      </c>
      <c r="W541" t="s">
        <v>35</v>
      </c>
      <c r="X541" t="s">
        <v>43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</row>
    <row r="542" spans="1:36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f>FLOOR(Table1_2[[#This Row],[MonthlyIncome]],1000)</f>
        <v>2000</v>
      </c>
      <c r="T542">
        <v>2216</v>
      </c>
      <c r="U542">
        <v>3872</v>
      </c>
      <c r="V542">
        <v>7</v>
      </c>
      <c r="W542" t="s">
        <v>35</v>
      </c>
      <c r="X542" t="s">
        <v>35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</row>
    <row r="543" spans="1:36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f>FLOOR(Table1_2[[#This Row],[MonthlyIncome]],1000)</f>
        <v>11000</v>
      </c>
      <c r="T543">
        <v>11713</v>
      </c>
      <c r="U543">
        <v>20335</v>
      </c>
      <c r="V543">
        <v>9</v>
      </c>
      <c r="W543" t="s">
        <v>35</v>
      </c>
      <c r="X543" t="s">
        <v>43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</row>
    <row r="544" spans="1:36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f>FLOOR(Table1_2[[#This Row],[MonthlyIncome]],1000)</f>
        <v>7000</v>
      </c>
      <c r="T544">
        <v>7861</v>
      </c>
      <c r="U544">
        <v>15397</v>
      </c>
      <c r="V544">
        <v>4</v>
      </c>
      <c r="W544" t="s">
        <v>35</v>
      </c>
      <c r="X544" t="s">
        <v>35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</row>
    <row r="545" spans="1:36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f>FLOOR(Table1_2[[#This Row],[MonthlyIncome]],1000)</f>
        <v>3000</v>
      </c>
      <c r="T545">
        <v>3708</v>
      </c>
      <c r="U545">
        <v>2104</v>
      </c>
      <c r="V545">
        <v>2</v>
      </c>
      <c r="W545" t="s">
        <v>35</v>
      </c>
      <c r="X545" t="s">
        <v>43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</row>
    <row r="546" spans="1:36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f>FLOOR(Table1_2[[#This Row],[MonthlyIncome]],1000)</f>
        <v>13000</v>
      </c>
      <c r="T546">
        <v>13770</v>
      </c>
      <c r="U546">
        <v>10225</v>
      </c>
      <c r="V546">
        <v>9</v>
      </c>
      <c r="W546" t="s">
        <v>35</v>
      </c>
      <c r="X546" t="s">
        <v>35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</row>
    <row r="547" spans="1:36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f>FLOOR(Table1_2[[#This Row],[MonthlyIncome]],1000)</f>
        <v>5000</v>
      </c>
      <c r="T547">
        <v>5304</v>
      </c>
      <c r="U547">
        <v>25275</v>
      </c>
      <c r="V547">
        <v>7</v>
      </c>
      <c r="W547" t="s">
        <v>35</v>
      </c>
      <c r="X547" t="s">
        <v>43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</row>
    <row r="548" spans="1:36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f>FLOOR(Table1_2[[#This Row],[MonthlyIncome]],1000)</f>
        <v>2000</v>
      </c>
      <c r="T548">
        <v>2642</v>
      </c>
      <c r="U548">
        <v>2755</v>
      </c>
      <c r="V548">
        <v>1</v>
      </c>
      <c r="W548" t="s">
        <v>35</v>
      </c>
      <c r="X548" t="s">
        <v>43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</row>
    <row r="549" spans="1:36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f>FLOOR(Table1_2[[#This Row],[MonthlyIncome]],1000)</f>
        <v>2000</v>
      </c>
      <c r="T549">
        <v>2759</v>
      </c>
      <c r="U549">
        <v>20366</v>
      </c>
      <c r="V549">
        <v>6</v>
      </c>
      <c r="W549" t="s">
        <v>35</v>
      </c>
      <c r="X549" t="s">
        <v>35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</row>
    <row r="550" spans="1:36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f>FLOOR(Table1_2[[#This Row],[MonthlyIncome]],1000)</f>
        <v>6000</v>
      </c>
      <c r="T550">
        <v>6804</v>
      </c>
      <c r="U550">
        <v>23683</v>
      </c>
      <c r="V550">
        <v>3</v>
      </c>
      <c r="W550" t="s">
        <v>35</v>
      </c>
      <c r="X550" t="s">
        <v>43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</row>
    <row r="551" spans="1:36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f>FLOOR(Table1_2[[#This Row],[MonthlyIncome]],1000)</f>
        <v>6000</v>
      </c>
      <c r="T551">
        <v>6142</v>
      </c>
      <c r="U551">
        <v>7360</v>
      </c>
      <c r="V551">
        <v>3</v>
      </c>
      <c r="W551" t="s">
        <v>35</v>
      </c>
      <c r="X551" t="s">
        <v>43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</row>
    <row r="552" spans="1:36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f>FLOOR(Table1_2[[#This Row],[MonthlyIncome]],1000)</f>
        <v>2000</v>
      </c>
      <c r="T552">
        <v>2500</v>
      </c>
      <c r="U552">
        <v>4344</v>
      </c>
      <c r="V552">
        <v>1</v>
      </c>
      <c r="W552" t="s">
        <v>35</v>
      </c>
      <c r="X552" t="s">
        <v>43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</row>
    <row r="553" spans="1:36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f>FLOOR(Table1_2[[#This Row],[MonthlyIncome]],1000)</f>
        <v>6000</v>
      </c>
      <c r="T553">
        <v>6389</v>
      </c>
      <c r="U553">
        <v>18767</v>
      </c>
      <c r="V553">
        <v>9</v>
      </c>
      <c r="W553" t="s">
        <v>35</v>
      </c>
      <c r="X553" t="s">
        <v>43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</row>
    <row r="554" spans="1:36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f>FLOOR(Table1_2[[#This Row],[MonthlyIncome]],1000)</f>
        <v>11000</v>
      </c>
      <c r="T554">
        <v>11103</v>
      </c>
      <c r="U554">
        <v>20420</v>
      </c>
      <c r="V554">
        <v>7</v>
      </c>
      <c r="W554" t="s">
        <v>35</v>
      </c>
      <c r="X554" t="s">
        <v>43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</row>
    <row r="555" spans="1:36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f>FLOOR(Table1_2[[#This Row],[MonthlyIncome]],1000)</f>
        <v>2000</v>
      </c>
      <c r="T555">
        <v>2342</v>
      </c>
      <c r="U555">
        <v>22929</v>
      </c>
      <c r="V555">
        <v>0</v>
      </c>
      <c r="W555" t="s">
        <v>35</v>
      </c>
      <c r="X555" t="s">
        <v>35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</row>
    <row r="556" spans="1:36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f>FLOOR(Table1_2[[#This Row],[MonthlyIncome]],1000)</f>
        <v>6000</v>
      </c>
      <c r="T556">
        <v>6811</v>
      </c>
      <c r="U556">
        <v>23398</v>
      </c>
      <c r="V556">
        <v>8</v>
      </c>
      <c r="W556" t="s">
        <v>35</v>
      </c>
      <c r="X556" t="s">
        <v>43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</row>
    <row r="557" spans="1:36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f>FLOOR(Table1_2[[#This Row],[MonthlyIncome]],1000)</f>
        <v>2000</v>
      </c>
      <c r="T557">
        <v>2297</v>
      </c>
      <c r="U557">
        <v>17967</v>
      </c>
      <c r="V557">
        <v>1</v>
      </c>
      <c r="W557" t="s">
        <v>35</v>
      </c>
      <c r="X557" t="s">
        <v>43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</row>
    <row r="558" spans="1:36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f>FLOOR(Table1_2[[#This Row],[MonthlyIncome]],1000)</f>
        <v>2000</v>
      </c>
      <c r="T558">
        <v>2450</v>
      </c>
      <c r="U558">
        <v>10919</v>
      </c>
      <c r="V558">
        <v>2</v>
      </c>
      <c r="W558" t="s">
        <v>35</v>
      </c>
      <c r="X558" t="s">
        <v>43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</row>
    <row r="559" spans="1:36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f>FLOOR(Table1_2[[#This Row],[MonthlyIncome]],1000)</f>
        <v>5000</v>
      </c>
      <c r="T559">
        <v>5093</v>
      </c>
      <c r="U559">
        <v>4761</v>
      </c>
      <c r="V559">
        <v>2</v>
      </c>
      <c r="W559" t="s">
        <v>35</v>
      </c>
      <c r="X559" t="s">
        <v>43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</row>
    <row r="560" spans="1:36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f>FLOOR(Table1_2[[#This Row],[MonthlyIncome]],1000)</f>
        <v>5000</v>
      </c>
      <c r="T560">
        <v>5309</v>
      </c>
      <c r="U560">
        <v>21146</v>
      </c>
      <c r="V560">
        <v>1</v>
      </c>
      <c r="W560" t="s">
        <v>35</v>
      </c>
      <c r="X560" t="s">
        <v>43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</row>
    <row r="561" spans="1:36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f>FLOOR(Table1_2[[#This Row],[MonthlyIncome]],1000)</f>
        <v>3000</v>
      </c>
      <c r="T561">
        <v>3057</v>
      </c>
      <c r="U561">
        <v>20471</v>
      </c>
      <c r="V561">
        <v>6</v>
      </c>
      <c r="W561" t="s">
        <v>35</v>
      </c>
      <c r="X561" t="s">
        <v>35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</row>
    <row r="562" spans="1:36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f>FLOOR(Table1_2[[#This Row],[MonthlyIncome]],1000)</f>
        <v>5000</v>
      </c>
      <c r="T562">
        <v>5121</v>
      </c>
      <c r="U562">
        <v>4187</v>
      </c>
      <c r="V562">
        <v>3</v>
      </c>
      <c r="W562" t="s">
        <v>35</v>
      </c>
      <c r="X562" t="s">
        <v>43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</row>
    <row r="563" spans="1:36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f>FLOOR(Table1_2[[#This Row],[MonthlyIncome]],1000)</f>
        <v>16000</v>
      </c>
      <c r="T563">
        <v>16856</v>
      </c>
      <c r="U563">
        <v>10084</v>
      </c>
      <c r="V563">
        <v>1</v>
      </c>
      <c r="W563" t="s">
        <v>35</v>
      </c>
      <c r="X563" t="s">
        <v>43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</row>
    <row r="564" spans="1:36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f>FLOOR(Table1_2[[#This Row],[MonthlyIncome]],1000)</f>
        <v>2000</v>
      </c>
      <c r="T564">
        <v>2686</v>
      </c>
      <c r="U564">
        <v>5207</v>
      </c>
      <c r="V564">
        <v>1</v>
      </c>
      <c r="W564" t="s">
        <v>35</v>
      </c>
      <c r="X564" t="s">
        <v>35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</row>
    <row r="565" spans="1:36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f>FLOOR(Table1_2[[#This Row],[MonthlyIncome]],1000)</f>
        <v>6000</v>
      </c>
      <c r="T565">
        <v>6180</v>
      </c>
      <c r="U565">
        <v>22807</v>
      </c>
      <c r="V565">
        <v>1</v>
      </c>
      <c r="W565" t="s">
        <v>35</v>
      </c>
      <c r="X565" t="s">
        <v>43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</row>
    <row r="566" spans="1:36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f>FLOOR(Table1_2[[#This Row],[MonthlyIncome]],1000)</f>
        <v>6000</v>
      </c>
      <c r="T566">
        <v>6632</v>
      </c>
      <c r="U566">
        <v>12388</v>
      </c>
      <c r="V566">
        <v>0</v>
      </c>
      <c r="W566" t="s">
        <v>35</v>
      </c>
      <c r="X566" t="s">
        <v>43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</row>
    <row r="567" spans="1:36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f>FLOOR(Table1_2[[#This Row],[MonthlyIncome]],1000)</f>
        <v>3000</v>
      </c>
      <c r="T567">
        <v>3505</v>
      </c>
      <c r="U567">
        <v>19630</v>
      </c>
      <c r="V567">
        <v>1</v>
      </c>
      <c r="W567" t="s">
        <v>35</v>
      </c>
      <c r="X567" t="s">
        <v>43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</row>
    <row r="568" spans="1:36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f>FLOOR(Table1_2[[#This Row],[MonthlyIncome]],1000)</f>
        <v>6000</v>
      </c>
      <c r="T568">
        <v>6397</v>
      </c>
      <c r="U568">
        <v>10339</v>
      </c>
      <c r="V568">
        <v>4</v>
      </c>
      <c r="W568" t="s">
        <v>35</v>
      </c>
      <c r="X568" t="s">
        <v>35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</row>
    <row r="569" spans="1:36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f>FLOOR(Table1_2[[#This Row],[MonthlyIncome]],1000)</f>
        <v>6000</v>
      </c>
      <c r="T569">
        <v>6274</v>
      </c>
      <c r="U569">
        <v>18686</v>
      </c>
      <c r="V569">
        <v>1</v>
      </c>
      <c r="W569" t="s">
        <v>35</v>
      </c>
      <c r="X569" t="s">
        <v>43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</row>
    <row r="570" spans="1:36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f>FLOOR(Table1_2[[#This Row],[MonthlyIncome]],1000)</f>
        <v>19000</v>
      </c>
      <c r="T570">
        <v>19859</v>
      </c>
      <c r="U570">
        <v>21199</v>
      </c>
      <c r="V570">
        <v>5</v>
      </c>
      <c r="W570" t="s">
        <v>35</v>
      </c>
      <c r="X570" t="s">
        <v>35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</row>
    <row r="571" spans="1:36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f>FLOOR(Table1_2[[#This Row],[MonthlyIncome]],1000)</f>
        <v>7000</v>
      </c>
      <c r="T571">
        <v>7587</v>
      </c>
      <c r="U571">
        <v>14229</v>
      </c>
      <c r="V571">
        <v>1</v>
      </c>
      <c r="W571" t="s">
        <v>35</v>
      </c>
      <c r="X571" t="s">
        <v>43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</row>
    <row r="572" spans="1:36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f>FLOOR(Table1_2[[#This Row],[MonthlyIncome]],1000)</f>
        <v>4000</v>
      </c>
      <c r="T572">
        <v>4258</v>
      </c>
      <c r="U572">
        <v>26589</v>
      </c>
      <c r="V572">
        <v>0</v>
      </c>
      <c r="W572" t="s">
        <v>35</v>
      </c>
      <c r="X572" t="s">
        <v>43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</row>
    <row r="573" spans="1:36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f>FLOOR(Table1_2[[#This Row],[MonthlyIncome]],1000)</f>
        <v>4000</v>
      </c>
      <c r="T573">
        <v>4364</v>
      </c>
      <c r="U573">
        <v>5288</v>
      </c>
      <c r="V573">
        <v>3</v>
      </c>
      <c r="W573" t="s">
        <v>35</v>
      </c>
      <c r="X573" t="s">
        <v>43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</row>
    <row r="574" spans="1:36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f>FLOOR(Table1_2[[#This Row],[MonthlyIncome]],1000)</f>
        <v>4000</v>
      </c>
      <c r="T574">
        <v>4335</v>
      </c>
      <c r="U574">
        <v>25549</v>
      </c>
      <c r="V574">
        <v>4</v>
      </c>
      <c r="W574" t="s">
        <v>35</v>
      </c>
      <c r="X574" t="s">
        <v>43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</row>
    <row r="575" spans="1:36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f>FLOOR(Table1_2[[#This Row],[MonthlyIncome]],1000)</f>
        <v>5000</v>
      </c>
      <c r="T575">
        <v>5326</v>
      </c>
      <c r="U575">
        <v>3064</v>
      </c>
      <c r="V575">
        <v>6</v>
      </c>
      <c r="W575" t="s">
        <v>35</v>
      </c>
      <c r="X575" t="s">
        <v>43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</row>
    <row r="576" spans="1:36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f>FLOOR(Table1_2[[#This Row],[MonthlyIncome]],1000)</f>
        <v>3000</v>
      </c>
      <c r="T576">
        <v>3280</v>
      </c>
      <c r="U576">
        <v>13551</v>
      </c>
      <c r="V576">
        <v>2</v>
      </c>
      <c r="W576" t="s">
        <v>35</v>
      </c>
      <c r="X576" t="s">
        <v>43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</row>
    <row r="577" spans="1:36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f>FLOOR(Table1_2[[#This Row],[MonthlyIncome]],1000)</f>
        <v>5000</v>
      </c>
      <c r="T577">
        <v>5485</v>
      </c>
      <c r="U577">
        <v>22670</v>
      </c>
      <c r="V577">
        <v>9</v>
      </c>
      <c r="W577" t="s">
        <v>35</v>
      </c>
      <c r="X577" t="s">
        <v>35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</row>
    <row r="578" spans="1:36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f>FLOOR(Table1_2[[#This Row],[MonthlyIncome]],1000)</f>
        <v>4000</v>
      </c>
      <c r="T578">
        <v>4342</v>
      </c>
      <c r="U578">
        <v>24008</v>
      </c>
      <c r="V578">
        <v>0</v>
      </c>
      <c r="W578" t="s">
        <v>35</v>
      </c>
      <c r="X578" t="s">
        <v>43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</row>
    <row r="579" spans="1:36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f>FLOOR(Table1_2[[#This Row],[MonthlyIncome]],1000)</f>
        <v>2000</v>
      </c>
      <c r="T579">
        <v>2782</v>
      </c>
      <c r="U579">
        <v>19905</v>
      </c>
      <c r="V579">
        <v>0</v>
      </c>
      <c r="W579" t="s">
        <v>35</v>
      </c>
      <c r="X579" t="s">
        <v>35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</row>
    <row r="580" spans="1:36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f>FLOOR(Table1_2[[#This Row],[MonthlyIncome]],1000)</f>
        <v>5000</v>
      </c>
      <c r="T580">
        <v>5980</v>
      </c>
      <c r="U580">
        <v>26085</v>
      </c>
      <c r="V580">
        <v>6</v>
      </c>
      <c r="W580" t="s">
        <v>35</v>
      </c>
      <c r="X580" t="s">
        <v>35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</row>
    <row r="581" spans="1:36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f>FLOOR(Table1_2[[#This Row],[MonthlyIncome]],1000)</f>
        <v>4000</v>
      </c>
      <c r="T581">
        <v>4381</v>
      </c>
      <c r="U581">
        <v>7530</v>
      </c>
      <c r="V581">
        <v>1</v>
      </c>
      <c r="W581" t="s">
        <v>35</v>
      </c>
      <c r="X581" t="s">
        <v>43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</row>
    <row r="582" spans="1:36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f>FLOOR(Table1_2[[#This Row],[MonthlyIncome]],1000)</f>
        <v>2000</v>
      </c>
      <c r="T582">
        <v>2572</v>
      </c>
      <c r="U582">
        <v>20317</v>
      </c>
      <c r="V582">
        <v>1</v>
      </c>
      <c r="W582" t="s">
        <v>35</v>
      </c>
      <c r="X582" t="s">
        <v>43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</row>
    <row r="583" spans="1:36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f>FLOOR(Table1_2[[#This Row],[MonthlyIncome]],1000)</f>
        <v>3000</v>
      </c>
      <c r="T583">
        <v>3833</v>
      </c>
      <c r="U583">
        <v>24375</v>
      </c>
      <c r="V583">
        <v>3</v>
      </c>
      <c r="W583" t="s">
        <v>35</v>
      </c>
      <c r="X583" t="s">
        <v>43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</row>
    <row r="584" spans="1:36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f>FLOOR(Table1_2[[#This Row],[MonthlyIncome]],1000)</f>
        <v>4000</v>
      </c>
      <c r="T584">
        <v>4244</v>
      </c>
      <c r="U584">
        <v>9931</v>
      </c>
      <c r="V584">
        <v>1</v>
      </c>
      <c r="W584" t="s">
        <v>35</v>
      </c>
      <c r="X584" t="s">
        <v>43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</row>
    <row r="585" spans="1:36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f>FLOOR(Table1_2[[#This Row],[MonthlyIncome]],1000)</f>
        <v>6000</v>
      </c>
      <c r="T585">
        <v>6500</v>
      </c>
      <c r="U585">
        <v>13305</v>
      </c>
      <c r="V585">
        <v>5</v>
      </c>
      <c r="W585" t="s">
        <v>35</v>
      </c>
      <c r="X585" t="s">
        <v>43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</row>
    <row r="586" spans="1:36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f>FLOOR(Table1_2[[#This Row],[MonthlyIncome]],1000)</f>
        <v>18000</v>
      </c>
      <c r="T586">
        <v>18430</v>
      </c>
      <c r="U586">
        <v>16225</v>
      </c>
      <c r="V586">
        <v>1</v>
      </c>
      <c r="W586" t="s">
        <v>35</v>
      </c>
      <c r="X586" t="s">
        <v>43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</row>
    <row r="587" spans="1:36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f>FLOOR(Table1_2[[#This Row],[MonthlyIncome]],1000)</f>
        <v>1000</v>
      </c>
      <c r="T587">
        <v>1601</v>
      </c>
      <c r="U587">
        <v>3445</v>
      </c>
      <c r="V587">
        <v>1</v>
      </c>
      <c r="W587" t="s">
        <v>35</v>
      </c>
      <c r="X587" t="s">
        <v>35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</row>
    <row r="588" spans="1:36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f>FLOOR(Table1_2[[#This Row],[MonthlyIncome]],1000)</f>
        <v>2000</v>
      </c>
      <c r="T588">
        <v>2694</v>
      </c>
      <c r="U588">
        <v>26551</v>
      </c>
      <c r="V588">
        <v>1</v>
      </c>
      <c r="W588" t="s">
        <v>35</v>
      </c>
      <c r="X588" t="s">
        <v>43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</row>
    <row r="589" spans="1:36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f>FLOOR(Table1_2[[#This Row],[MonthlyIncome]],1000)</f>
        <v>3000</v>
      </c>
      <c r="T589">
        <v>3149</v>
      </c>
      <c r="U589">
        <v>21821</v>
      </c>
      <c r="V589">
        <v>8</v>
      </c>
      <c r="W589" t="s">
        <v>35</v>
      </c>
      <c r="X589" t="s">
        <v>43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</row>
    <row r="590" spans="1:36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f>FLOOR(Table1_2[[#This Row],[MonthlyIncome]],1000)</f>
        <v>17000</v>
      </c>
      <c r="T590">
        <v>17639</v>
      </c>
      <c r="U590">
        <v>6881</v>
      </c>
      <c r="V590">
        <v>5</v>
      </c>
      <c r="W590" t="s">
        <v>35</v>
      </c>
      <c r="X590" t="s">
        <v>43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</row>
    <row r="591" spans="1:36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f>FLOOR(Table1_2[[#This Row],[MonthlyIncome]],1000)</f>
        <v>2000</v>
      </c>
      <c r="T591">
        <v>2319</v>
      </c>
      <c r="U591">
        <v>6689</v>
      </c>
      <c r="V591">
        <v>1</v>
      </c>
      <c r="W591" t="s">
        <v>35</v>
      </c>
      <c r="X591" t="s">
        <v>35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</row>
    <row r="592" spans="1:36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f>FLOOR(Table1_2[[#This Row],[MonthlyIncome]],1000)</f>
        <v>11000</v>
      </c>
      <c r="T592">
        <v>11691</v>
      </c>
      <c r="U592">
        <v>25995</v>
      </c>
      <c r="V592">
        <v>0</v>
      </c>
      <c r="W592" t="s">
        <v>35</v>
      </c>
      <c r="X592" t="s">
        <v>43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</row>
    <row r="593" spans="1:36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f>FLOOR(Table1_2[[#This Row],[MonthlyIncome]],1000)</f>
        <v>5000</v>
      </c>
      <c r="T593">
        <v>5324</v>
      </c>
      <c r="U593">
        <v>26507</v>
      </c>
      <c r="V593">
        <v>5</v>
      </c>
      <c r="W593" t="s">
        <v>35</v>
      </c>
      <c r="X593" t="s">
        <v>43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</row>
    <row r="594" spans="1:36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f>FLOOR(Table1_2[[#This Row],[MonthlyIncome]],1000)</f>
        <v>16000</v>
      </c>
      <c r="T594">
        <v>16752</v>
      </c>
      <c r="U594">
        <v>12982</v>
      </c>
      <c r="V594">
        <v>1</v>
      </c>
      <c r="W594" t="s">
        <v>35</v>
      </c>
      <c r="X594" t="s">
        <v>35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</row>
    <row r="595" spans="1:36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f>FLOOR(Table1_2[[#This Row],[MonthlyIncome]],1000)</f>
        <v>5000</v>
      </c>
      <c r="T595">
        <v>5228</v>
      </c>
      <c r="U595">
        <v>23361</v>
      </c>
      <c r="V595">
        <v>0</v>
      </c>
      <c r="W595" t="s">
        <v>35</v>
      </c>
      <c r="X595" t="s">
        <v>43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</row>
    <row r="596" spans="1:36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f>FLOOR(Table1_2[[#This Row],[MonthlyIncome]],1000)</f>
        <v>2000</v>
      </c>
      <c r="T596">
        <v>2700</v>
      </c>
      <c r="U596">
        <v>23779</v>
      </c>
      <c r="V596">
        <v>1</v>
      </c>
      <c r="W596" t="s">
        <v>35</v>
      </c>
      <c r="X596" t="s">
        <v>43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</row>
    <row r="597" spans="1:36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f>FLOOR(Table1_2[[#This Row],[MonthlyIncome]],1000)</f>
        <v>19000</v>
      </c>
      <c r="T597">
        <v>19246</v>
      </c>
      <c r="U597">
        <v>25761</v>
      </c>
      <c r="V597">
        <v>7</v>
      </c>
      <c r="W597" t="s">
        <v>35</v>
      </c>
      <c r="X597" t="s">
        <v>35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</row>
    <row r="598" spans="1:36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f>FLOOR(Table1_2[[#This Row],[MonthlyIncome]],1000)</f>
        <v>2000</v>
      </c>
      <c r="T598">
        <v>2506</v>
      </c>
      <c r="U598">
        <v>13301</v>
      </c>
      <c r="V598">
        <v>3</v>
      </c>
      <c r="W598" t="s">
        <v>35</v>
      </c>
      <c r="X598" t="s">
        <v>43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</row>
    <row r="599" spans="1:36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f>FLOOR(Table1_2[[#This Row],[MonthlyIncome]],1000)</f>
        <v>6000</v>
      </c>
      <c r="T599">
        <v>6062</v>
      </c>
      <c r="U599">
        <v>4051</v>
      </c>
      <c r="V599">
        <v>9</v>
      </c>
      <c r="W599" t="s">
        <v>35</v>
      </c>
      <c r="X599" t="s">
        <v>35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</row>
    <row r="600" spans="1:36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f>FLOOR(Table1_2[[#This Row],[MonthlyIncome]],1000)</f>
        <v>4000</v>
      </c>
      <c r="T600">
        <v>4382</v>
      </c>
      <c r="U600">
        <v>16374</v>
      </c>
      <c r="V600">
        <v>6</v>
      </c>
      <c r="W600" t="s">
        <v>35</v>
      </c>
      <c r="X600" t="s">
        <v>43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</row>
    <row r="601" spans="1:36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f>FLOOR(Table1_2[[#This Row],[MonthlyIncome]],1000)</f>
        <v>2000</v>
      </c>
      <c r="T601">
        <v>2143</v>
      </c>
      <c r="U601">
        <v>25527</v>
      </c>
      <c r="V601">
        <v>4</v>
      </c>
      <c r="W601" t="s">
        <v>35</v>
      </c>
      <c r="X601" t="s">
        <v>43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</row>
    <row r="602" spans="1:36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f>FLOOR(Table1_2[[#This Row],[MonthlyIncome]],1000)</f>
        <v>6000</v>
      </c>
      <c r="T602">
        <v>6162</v>
      </c>
      <c r="U602">
        <v>19124</v>
      </c>
      <c r="V602">
        <v>1</v>
      </c>
      <c r="W602" t="s">
        <v>35</v>
      </c>
      <c r="X602" t="s">
        <v>43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</row>
    <row r="603" spans="1:36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f>FLOOR(Table1_2[[#This Row],[MonthlyIncome]],1000)</f>
        <v>5000</v>
      </c>
      <c r="T603">
        <v>5094</v>
      </c>
      <c r="U603">
        <v>11983</v>
      </c>
      <c r="V603">
        <v>6</v>
      </c>
      <c r="W603" t="s">
        <v>35</v>
      </c>
      <c r="X603" t="s">
        <v>43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</row>
    <row r="604" spans="1:36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f>FLOOR(Table1_2[[#This Row],[MonthlyIncome]],1000)</f>
        <v>6000</v>
      </c>
      <c r="T604">
        <v>6877</v>
      </c>
      <c r="U604">
        <v>20234</v>
      </c>
      <c r="V604">
        <v>5</v>
      </c>
      <c r="W604" t="s">
        <v>35</v>
      </c>
      <c r="X604" t="s">
        <v>35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</row>
    <row r="605" spans="1:36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f>FLOOR(Table1_2[[#This Row],[MonthlyIncome]],1000)</f>
        <v>2000</v>
      </c>
      <c r="T605">
        <v>2274</v>
      </c>
      <c r="U605">
        <v>6153</v>
      </c>
      <c r="V605">
        <v>1</v>
      </c>
      <c r="W605" t="s">
        <v>35</v>
      </c>
      <c r="X605" t="s">
        <v>43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1:36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f>FLOOR(Table1_2[[#This Row],[MonthlyIncome]],1000)</f>
        <v>4000</v>
      </c>
      <c r="T606">
        <v>4434</v>
      </c>
      <c r="U606">
        <v>11806</v>
      </c>
      <c r="V606">
        <v>1</v>
      </c>
      <c r="W606" t="s">
        <v>35</v>
      </c>
      <c r="X606" t="s">
        <v>43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</row>
    <row r="607" spans="1:36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f>FLOOR(Table1_2[[#This Row],[MonthlyIncome]],1000)</f>
        <v>6000</v>
      </c>
      <c r="T607">
        <v>6288</v>
      </c>
      <c r="U607">
        <v>4284</v>
      </c>
      <c r="V607">
        <v>2</v>
      </c>
      <c r="W607" t="s">
        <v>35</v>
      </c>
      <c r="X607" t="s">
        <v>43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</row>
    <row r="608" spans="1:36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f>FLOOR(Table1_2[[#This Row],[MonthlyIncome]],1000)</f>
        <v>2000</v>
      </c>
      <c r="T608">
        <v>2553</v>
      </c>
      <c r="U608">
        <v>8306</v>
      </c>
      <c r="V608">
        <v>1</v>
      </c>
      <c r="W608" t="s">
        <v>35</v>
      </c>
      <c r="X608" t="s">
        <v>43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</row>
    <row r="609" spans="1:36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f>FLOOR(Table1_2[[#This Row],[MonthlyIncome]],1000)</f>
        <v>7000</v>
      </c>
      <c r="T609">
        <v>7654</v>
      </c>
      <c r="U609">
        <v>5860</v>
      </c>
      <c r="V609">
        <v>1</v>
      </c>
      <c r="W609" t="s">
        <v>35</v>
      </c>
      <c r="X609" t="s">
        <v>43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</row>
    <row r="610" spans="1:36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f>FLOOR(Table1_2[[#This Row],[MonthlyIncome]],1000)</f>
        <v>5000</v>
      </c>
      <c r="T610">
        <v>5160</v>
      </c>
      <c r="U610">
        <v>21519</v>
      </c>
      <c r="V610">
        <v>4</v>
      </c>
      <c r="W610" t="s">
        <v>35</v>
      </c>
      <c r="X610" t="s">
        <v>43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</row>
    <row r="611" spans="1:36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f>FLOOR(Table1_2[[#This Row],[MonthlyIncome]],1000)</f>
        <v>17000</v>
      </c>
      <c r="T611">
        <v>17159</v>
      </c>
      <c r="U611">
        <v>5200</v>
      </c>
      <c r="V611">
        <v>6</v>
      </c>
      <c r="W611" t="s">
        <v>35</v>
      </c>
      <c r="X611" t="s">
        <v>43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</row>
    <row r="612" spans="1:36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f>FLOOR(Table1_2[[#This Row],[MonthlyIncome]],1000)</f>
        <v>12000</v>
      </c>
      <c r="T612">
        <v>12808</v>
      </c>
      <c r="U612">
        <v>8842</v>
      </c>
      <c r="V612">
        <v>1</v>
      </c>
      <c r="W612" t="s">
        <v>35</v>
      </c>
      <c r="X612" t="s">
        <v>35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</row>
    <row r="613" spans="1:36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f>FLOOR(Table1_2[[#This Row],[MonthlyIncome]],1000)</f>
        <v>10000</v>
      </c>
      <c r="T613">
        <v>10221</v>
      </c>
      <c r="U613">
        <v>18869</v>
      </c>
      <c r="V613">
        <v>3</v>
      </c>
      <c r="W613" t="s">
        <v>35</v>
      </c>
      <c r="X613" t="s">
        <v>43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</row>
    <row r="614" spans="1:36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f>FLOOR(Table1_2[[#This Row],[MonthlyIncome]],1000)</f>
        <v>4000</v>
      </c>
      <c r="T614">
        <v>4779</v>
      </c>
      <c r="U614">
        <v>3698</v>
      </c>
      <c r="V614">
        <v>1</v>
      </c>
      <c r="W614" t="s">
        <v>35</v>
      </c>
      <c r="X614" t="s">
        <v>35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</row>
    <row r="615" spans="1:36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f>FLOOR(Table1_2[[#This Row],[MonthlyIncome]],1000)</f>
        <v>3000</v>
      </c>
      <c r="T615">
        <v>3737</v>
      </c>
      <c r="U615">
        <v>2243</v>
      </c>
      <c r="V615">
        <v>0</v>
      </c>
      <c r="W615" t="s">
        <v>35</v>
      </c>
      <c r="X615" t="s">
        <v>43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</row>
    <row r="616" spans="1:36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f>FLOOR(Table1_2[[#This Row],[MonthlyIncome]],1000)</f>
        <v>2000</v>
      </c>
      <c r="T616">
        <v>2366</v>
      </c>
      <c r="U616">
        <v>20898</v>
      </c>
      <c r="V616">
        <v>1</v>
      </c>
      <c r="W616" t="s">
        <v>35</v>
      </c>
      <c r="X616" t="s">
        <v>35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</row>
    <row r="617" spans="1:36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f>FLOOR(Table1_2[[#This Row],[MonthlyIncome]],1000)</f>
        <v>1000</v>
      </c>
      <c r="T617">
        <v>1706</v>
      </c>
      <c r="U617">
        <v>16571</v>
      </c>
      <c r="V617">
        <v>1</v>
      </c>
      <c r="W617" t="s">
        <v>35</v>
      </c>
      <c r="X617" t="s">
        <v>43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</row>
    <row r="618" spans="1:36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f>FLOOR(Table1_2[[#This Row],[MonthlyIncome]],1000)</f>
        <v>16000</v>
      </c>
      <c r="T618">
        <v>16307</v>
      </c>
      <c r="U618">
        <v>5594</v>
      </c>
      <c r="V618">
        <v>2</v>
      </c>
      <c r="W618" t="s">
        <v>35</v>
      </c>
      <c r="X618" t="s">
        <v>43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</row>
    <row r="619" spans="1:36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f>FLOOR(Table1_2[[#This Row],[MonthlyIncome]],1000)</f>
        <v>5000</v>
      </c>
      <c r="T619">
        <v>5933</v>
      </c>
      <c r="U619">
        <v>5197</v>
      </c>
      <c r="V619">
        <v>9</v>
      </c>
      <c r="W619" t="s">
        <v>35</v>
      </c>
      <c r="X619" t="s">
        <v>43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</row>
    <row r="620" spans="1:36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f>FLOOR(Table1_2[[#This Row],[MonthlyIncome]],1000)</f>
        <v>3000</v>
      </c>
      <c r="T620">
        <v>3424</v>
      </c>
      <c r="U620">
        <v>21632</v>
      </c>
      <c r="V620">
        <v>7</v>
      </c>
      <c r="W620" t="s">
        <v>35</v>
      </c>
      <c r="X620" t="s">
        <v>43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</row>
    <row r="621" spans="1:36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f>FLOOR(Table1_2[[#This Row],[MonthlyIncome]],1000)</f>
        <v>4000</v>
      </c>
      <c r="T621">
        <v>4037</v>
      </c>
      <c r="U621">
        <v>21816</v>
      </c>
      <c r="V621">
        <v>1</v>
      </c>
      <c r="W621" t="s">
        <v>35</v>
      </c>
      <c r="X621" t="s">
        <v>43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</row>
    <row r="622" spans="1:36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f>FLOOR(Table1_2[[#This Row],[MonthlyIncome]],1000)</f>
        <v>2000</v>
      </c>
      <c r="T622">
        <v>2559</v>
      </c>
      <c r="U622">
        <v>17852</v>
      </c>
      <c r="V622">
        <v>1</v>
      </c>
      <c r="W622" t="s">
        <v>35</v>
      </c>
      <c r="X622" t="s">
        <v>43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</row>
    <row r="623" spans="1:36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f>FLOOR(Table1_2[[#This Row],[MonthlyIncome]],1000)</f>
        <v>6000</v>
      </c>
      <c r="T623">
        <v>6201</v>
      </c>
      <c r="U623">
        <v>2823</v>
      </c>
      <c r="V623">
        <v>1</v>
      </c>
      <c r="W623" t="s">
        <v>35</v>
      </c>
      <c r="X623" t="s">
        <v>35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</row>
    <row r="624" spans="1:36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f>FLOOR(Table1_2[[#This Row],[MonthlyIncome]],1000)</f>
        <v>4000</v>
      </c>
      <c r="T624">
        <v>4403</v>
      </c>
      <c r="U624">
        <v>9250</v>
      </c>
      <c r="V624">
        <v>2</v>
      </c>
      <c r="W624" t="s">
        <v>35</v>
      </c>
      <c r="X624" t="s">
        <v>43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</row>
    <row r="625" spans="1:36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f>FLOOR(Table1_2[[#This Row],[MonthlyIncome]],1000)</f>
        <v>3000</v>
      </c>
      <c r="T625">
        <v>3761</v>
      </c>
      <c r="U625">
        <v>2373</v>
      </c>
      <c r="V625">
        <v>9</v>
      </c>
      <c r="W625" t="s">
        <v>35</v>
      </c>
      <c r="X625" t="s">
        <v>43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</row>
    <row r="626" spans="1:36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f>FLOOR(Table1_2[[#This Row],[MonthlyIncome]],1000)</f>
        <v>10000</v>
      </c>
      <c r="T626">
        <v>10934</v>
      </c>
      <c r="U626">
        <v>20715</v>
      </c>
      <c r="V626">
        <v>7</v>
      </c>
      <c r="W626" t="s">
        <v>35</v>
      </c>
      <c r="X626" t="s">
        <v>35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</row>
    <row r="627" spans="1:36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f>FLOOR(Table1_2[[#This Row],[MonthlyIncome]],1000)</f>
        <v>10000</v>
      </c>
      <c r="T627">
        <v>10761</v>
      </c>
      <c r="U627">
        <v>19239</v>
      </c>
      <c r="V627">
        <v>4</v>
      </c>
      <c r="W627" t="s">
        <v>35</v>
      </c>
      <c r="X627" t="s">
        <v>35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</row>
    <row r="628" spans="1:36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f>FLOOR(Table1_2[[#This Row],[MonthlyIncome]],1000)</f>
        <v>5000</v>
      </c>
      <c r="T628">
        <v>5175</v>
      </c>
      <c r="U628">
        <v>22162</v>
      </c>
      <c r="V628">
        <v>5</v>
      </c>
      <c r="W628" t="s">
        <v>35</v>
      </c>
      <c r="X628" t="s">
        <v>43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</row>
    <row r="629" spans="1:36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f>FLOOR(Table1_2[[#This Row],[MonthlyIncome]],1000)</f>
        <v>13000</v>
      </c>
      <c r="T629">
        <v>13826</v>
      </c>
      <c r="U629">
        <v>19028</v>
      </c>
      <c r="V629">
        <v>3</v>
      </c>
      <c r="W629" t="s">
        <v>35</v>
      </c>
      <c r="X629" t="s">
        <v>43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</row>
    <row r="630" spans="1:36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f>FLOOR(Table1_2[[#This Row],[MonthlyIncome]],1000)</f>
        <v>6000</v>
      </c>
      <c r="T630">
        <v>6334</v>
      </c>
      <c r="U630">
        <v>24558</v>
      </c>
      <c r="V630">
        <v>4</v>
      </c>
      <c r="W630" t="s">
        <v>35</v>
      </c>
      <c r="X630" t="s">
        <v>43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</row>
    <row r="631" spans="1:36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f>FLOOR(Table1_2[[#This Row],[MonthlyIncome]],1000)</f>
        <v>4000</v>
      </c>
      <c r="T631">
        <v>4936</v>
      </c>
      <c r="U631">
        <v>23965</v>
      </c>
      <c r="V631">
        <v>1</v>
      </c>
      <c r="W631" t="s">
        <v>35</v>
      </c>
      <c r="X631" t="s">
        <v>43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</row>
    <row r="632" spans="1:36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f>FLOOR(Table1_2[[#This Row],[MonthlyIncome]],1000)</f>
        <v>4000</v>
      </c>
      <c r="T632">
        <v>4775</v>
      </c>
      <c r="U632">
        <v>19146</v>
      </c>
      <c r="V632">
        <v>6</v>
      </c>
      <c r="W632" t="s">
        <v>35</v>
      </c>
      <c r="X632" t="s">
        <v>43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</row>
    <row r="633" spans="1:36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f>FLOOR(Table1_2[[#This Row],[MonthlyIncome]],1000)</f>
        <v>2000</v>
      </c>
      <c r="T633">
        <v>2818</v>
      </c>
      <c r="U633">
        <v>5044</v>
      </c>
      <c r="V633">
        <v>2</v>
      </c>
      <c r="W633" t="s">
        <v>35</v>
      </c>
      <c r="X633" t="s">
        <v>35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</row>
    <row r="634" spans="1:36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f>FLOOR(Table1_2[[#This Row],[MonthlyIncome]],1000)</f>
        <v>2000</v>
      </c>
      <c r="T634">
        <v>2515</v>
      </c>
      <c r="U634">
        <v>9068</v>
      </c>
      <c r="V634">
        <v>5</v>
      </c>
      <c r="W634" t="s">
        <v>35</v>
      </c>
      <c r="X634" t="s">
        <v>35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</row>
    <row r="635" spans="1:36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f>FLOOR(Table1_2[[#This Row],[MonthlyIncome]],1000)</f>
        <v>2000</v>
      </c>
      <c r="T635">
        <v>2342</v>
      </c>
      <c r="U635">
        <v>8635</v>
      </c>
      <c r="V635">
        <v>0</v>
      </c>
      <c r="W635" t="s">
        <v>35</v>
      </c>
      <c r="X635" t="s">
        <v>43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</row>
    <row r="636" spans="1:36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f>FLOOR(Table1_2[[#This Row],[MonthlyIncome]],1000)</f>
        <v>4000</v>
      </c>
      <c r="T636">
        <v>4194</v>
      </c>
      <c r="U636">
        <v>14363</v>
      </c>
      <c r="V636">
        <v>1</v>
      </c>
      <c r="W636" t="s">
        <v>35</v>
      </c>
      <c r="X636" t="s">
        <v>35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</row>
    <row r="637" spans="1:36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f>FLOOR(Table1_2[[#This Row],[MonthlyIncome]],1000)</f>
        <v>10000</v>
      </c>
      <c r="T637">
        <v>10685</v>
      </c>
      <c r="U637">
        <v>23457</v>
      </c>
      <c r="V637">
        <v>1</v>
      </c>
      <c r="W637" t="s">
        <v>35</v>
      </c>
      <c r="X637" t="s">
        <v>35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</row>
    <row r="638" spans="1:36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f>FLOOR(Table1_2[[#This Row],[MonthlyIncome]],1000)</f>
        <v>2000</v>
      </c>
      <c r="T638">
        <v>2022</v>
      </c>
      <c r="U638">
        <v>16612</v>
      </c>
      <c r="V638">
        <v>1</v>
      </c>
      <c r="W638" t="s">
        <v>35</v>
      </c>
      <c r="X638" t="s">
        <v>35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</row>
    <row r="639" spans="1:36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f>FLOOR(Table1_2[[#This Row],[MonthlyIncome]],1000)</f>
        <v>2000</v>
      </c>
      <c r="T639">
        <v>2314</v>
      </c>
      <c r="U639">
        <v>9148</v>
      </c>
      <c r="V639">
        <v>0</v>
      </c>
      <c r="W639" t="s">
        <v>35</v>
      </c>
      <c r="X639" t="s">
        <v>43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</row>
    <row r="640" spans="1:36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f>FLOOR(Table1_2[[#This Row],[MonthlyIncome]],1000)</f>
        <v>4000</v>
      </c>
      <c r="T640">
        <v>4256</v>
      </c>
      <c r="U640">
        <v>18154</v>
      </c>
      <c r="V640">
        <v>1</v>
      </c>
      <c r="W640" t="s">
        <v>35</v>
      </c>
      <c r="X640" t="s">
        <v>43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</row>
    <row r="641" spans="1:36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f>FLOOR(Table1_2[[#This Row],[MonthlyIncome]],1000)</f>
        <v>3000</v>
      </c>
      <c r="T641">
        <v>3580</v>
      </c>
      <c r="U641">
        <v>10554</v>
      </c>
      <c r="V641">
        <v>2</v>
      </c>
      <c r="W641" t="s">
        <v>35</v>
      </c>
      <c r="X641" t="s">
        <v>43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</row>
    <row r="642" spans="1:36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f>FLOOR(Table1_2[[#This Row],[MonthlyIncome]],1000)</f>
        <v>3000</v>
      </c>
      <c r="T642">
        <v>3162</v>
      </c>
      <c r="U642">
        <v>10778</v>
      </c>
      <c r="V642">
        <v>0</v>
      </c>
      <c r="W642" t="s">
        <v>35</v>
      </c>
      <c r="X642" t="s">
        <v>43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</row>
    <row r="643" spans="1:36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f>FLOOR(Table1_2[[#This Row],[MonthlyIncome]],1000)</f>
        <v>6000</v>
      </c>
      <c r="T643">
        <v>6524</v>
      </c>
      <c r="U643">
        <v>8891</v>
      </c>
      <c r="V643">
        <v>1</v>
      </c>
      <c r="W643" t="s">
        <v>35</v>
      </c>
      <c r="X643" t="s">
        <v>43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</row>
    <row r="644" spans="1:36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f>FLOOR(Table1_2[[#This Row],[MonthlyIncome]],1000)</f>
        <v>2000</v>
      </c>
      <c r="T644">
        <v>2899</v>
      </c>
      <c r="U644">
        <v>12102</v>
      </c>
      <c r="V644">
        <v>0</v>
      </c>
      <c r="W644" t="s">
        <v>35</v>
      </c>
      <c r="X644" t="s">
        <v>43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</row>
    <row r="645" spans="1:36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f>FLOOR(Table1_2[[#This Row],[MonthlyIncome]],1000)</f>
        <v>5000</v>
      </c>
      <c r="T645">
        <v>5231</v>
      </c>
      <c r="U645">
        <v>23726</v>
      </c>
      <c r="V645">
        <v>2</v>
      </c>
      <c r="W645" t="s">
        <v>35</v>
      </c>
      <c r="X645" t="s">
        <v>35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</row>
    <row r="646" spans="1:36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f>FLOOR(Table1_2[[#This Row],[MonthlyIncome]],1000)</f>
        <v>2000</v>
      </c>
      <c r="T646">
        <v>2356</v>
      </c>
      <c r="U646">
        <v>14871</v>
      </c>
      <c r="V646">
        <v>3</v>
      </c>
      <c r="W646" t="s">
        <v>35</v>
      </c>
      <c r="X646" t="s">
        <v>35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</row>
    <row r="647" spans="1:36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f>FLOOR(Table1_2[[#This Row],[MonthlyIncome]],1000)</f>
        <v>2000</v>
      </c>
      <c r="T647">
        <v>2800</v>
      </c>
      <c r="U647">
        <v>23522</v>
      </c>
      <c r="V647">
        <v>6</v>
      </c>
      <c r="W647" t="s">
        <v>35</v>
      </c>
      <c r="X647" t="s">
        <v>35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</row>
    <row r="648" spans="1:36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f>FLOOR(Table1_2[[#This Row],[MonthlyIncome]],1000)</f>
        <v>11000</v>
      </c>
      <c r="T648">
        <v>11836</v>
      </c>
      <c r="U648">
        <v>22789</v>
      </c>
      <c r="V648">
        <v>5</v>
      </c>
      <c r="W648" t="s">
        <v>35</v>
      </c>
      <c r="X648" t="s">
        <v>43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</row>
    <row r="649" spans="1:36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f>FLOOR(Table1_2[[#This Row],[MonthlyIncome]],1000)</f>
        <v>10000</v>
      </c>
      <c r="T649">
        <v>10903</v>
      </c>
      <c r="U649">
        <v>9129</v>
      </c>
      <c r="V649">
        <v>3</v>
      </c>
      <c r="W649" t="s">
        <v>35</v>
      </c>
      <c r="X649" t="s">
        <v>43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</row>
    <row r="650" spans="1:36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f>FLOOR(Table1_2[[#This Row],[MonthlyIncome]],1000)</f>
        <v>2000</v>
      </c>
      <c r="T650">
        <v>2973</v>
      </c>
      <c r="U650">
        <v>21222</v>
      </c>
      <c r="V650">
        <v>5</v>
      </c>
      <c r="W650" t="s">
        <v>35</v>
      </c>
      <c r="X650" t="s">
        <v>43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</row>
    <row r="651" spans="1:36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f>FLOOR(Table1_2[[#This Row],[MonthlyIncome]],1000)</f>
        <v>14000</v>
      </c>
      <c r="T651">
        <v>14275</v>
      </c>
      <c r="U651">
        <v>20206</v>
      </c>
      <c r="V651">
        <v>6</v>
      </c>
      <c r="W651" t="s">
        <v>35</v>
      </c>
      <c r="X651" t="s">
        <v>43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</row>
    <row r="652" spans="1:36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f>FLOOR(Table1_2[[#This Row],[MonthlyIncome]],1000)</f>
        <v>5000</v>
      </c>
      <c r="T652">
        <v>5562</v>
      </c>
      <c r="U652">
        <v>21782</v>
      </c>
      <c r="V652">
        <v>4</v>
      </c>
      <c r="W652" t="s">
        <v>35</v>
      </c>
      <c r="X652" t="s">
        <v>43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</row>
    <row r="653" spans="1:36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f>FLOOR(Table1_2[[#This Row],[MonthlyIncome]],1000)</f>
        <v>4000</v>
      </c>
      <c r="T653">
        <v>4537</v>
      </c>
      <c r="U653">
        <v>17783</v>
      </c>
      <c r="V653">
        <v>0</v>
      </c>
      <c r="W653" t="s">
        <v>35</v>
      </c>
      <c r="X653" t="s">
        <v>35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</row>
    <row r="654" spans="1:36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f>FLOOR(Table1_2[[#This Row],[MonthlyIncome]],1000)</f>
        <v>7000</v>
      </c>
      <c r="T654">
        <v>7642</v>
      </c>
      <c r="U654">
        <v>4814</v>
      </c>
      <c r="V654">
        <v>1</v>
      </c>
      <c r="W654" t="s">
        <v>35</v>
      </c>
      <c r="X654" t="s">
        <v>35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</row>
    <row r="655" spans="1:36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f>FLOOR(Table1_2[[#This Row],[MonthlyIncome]],1000)</f>
        <v>17000</v>
      </c>
      <c r="T655">
        <v>17924</v>
      </c>
      <c r="U655">
        <v>4544</v>
      </c>
      <c r="V655">
        <v>1</v>
      </c>
      <c r="W655" t="s">
        <v>35</v>
      </c>
      <c r="X655" t="s">
        <v>43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</row>
    <row r="656" spans="1:36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f>FLOOR(Table1_2[[#This Row],[MonthlyIncome]],1000)</f>
        <v>5000</v>
      </c>
      <c r="T656">
        <v>5204</v>
      </c>
      <c r="U656">
        <v>7790</v>
      </c>
      <c r="V656">
        <v>8</v>
      </c>
      <c r="W656" t="s">
        <v>35</v>
      </c>
      <c r="X656" t="s">
        <v>43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</row>
    <row r="657" spans="1:36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f>FLOOR(Table1_2[[#This Row],[MonthlyIncome]],1000)</f>
        <v>2000</v>
      </c>
      <c r="T657">
        <v>2277</v>
      </c>
      <c r="U657">
        <v>22650</v>
      </c>
      <c r="V657">
        <v>3</v>
      </c>
      <c r="W657" t="s">
        <v>35</v>
      </c>
      <c r="X657" t="s">
        <v>35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</row>
    <row r="658" spans="1:36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f>FLOOR(Table1_2[[#This Row],[MonthlyIncome]],1000)</f>
        <v>2000</v>
      </c>
      <c r="T658">
        <v>2795</v>
      </c>
      <c r="U658">
        <v>18016</v>
      </c>
      <c r="V658">
        <v>1</v>
      </c>
      <c r="W658" t="s">
        <v>35</v>
      </c>
      <c r="X658" t="s">
        <v>35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</row>
    <row r="659" spans="1:36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f>FLOOR(Table1_2[[#This Row],[MonthlyIncome]],1000)</f>
        <v>2000</v>
      </c>
      <c r="T659">
        <v>2532</v>
      </c>
      <c r="U659">
        <v>6054</v>
      </c>
      <c r="V659">
        <v>6</v>
      </c>
      <c r="W659" t="s">
        <v>35</v>
      </c>
      <c r="X659" t="s">
        <v>43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</row>
    <row r="660" spans="1:36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f>FLOOR(Table1_2[[#This Row],[MonthlyIncome]],1000)</f>
        <v>2000</v>
      </c>
      <c r="T660">
        <v>2559</v>
      </c>
      <c r="U660">
        <v>7508</v>
      </c>
      <c r="V660">
        <v>1</v>
      </c>
      <c r="W660" t="s">
        <v>35</v>
      </c>
      <c r="X660" t="s">
        <v>35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</row>
    <row r="661" spans="1:36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f>FLOOR(Table1_2[[#This Row],[MonthlyIncome]],1000)</f>
        <v>4000</v>
      </c>
      <c r="T661">
        <v>4908</v>
      </c>
      <c r="U661">
        <v>24252</v>
      </c>
      <c r="V661">
        <v>1</v>
      </c>
      <c r="W661" t="s">
        <v>35</v>
      </c>
      <c r="X661" t="s">
        <v>43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</row>
    <row r="662" spans="1:36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f>FLOOR(Table1_2[[#This Row],[MonthlyIncome]],1000)</f>
        <v>2000</v>
      </c>
      <c r="T662">
        <v>2380</v>
      </c>
      <c r="U662">
        <v>13384</v>
      </c>
      <c r="V662">
        <v>9</v>
      </c>
      <c r="W662" t="s">
        <v>35</v>
      </c>
      <c r="X662" t="s">
        <v>35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</row>
    <row r="663" spans="1:36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f>FLOOR(Table1_2[[#This Row],[MonthlyIncome]],1000)</f>
        <v>4000</v>
      </c>
      <c r="T663">
        <v>4765</v>
      </c>
      <c r="U663">
        <v>23814</v>
      </c>
      <c r="V663">
        <v>4</v>
      </c>
      <c r="W663" t="s">
        <v>35</v>
      </c>
      <c r="X663" t="s">
        <v>43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</row>
    <row r="664" spans="1:36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f>FLOOR(Table1_2[[#This Row],[MonthlyIncome]],1000)</f>
        <v>2000</v>
      </c>
      <c r="T664">
        <v>2044</v>
      </c>
      <c r="U664">
        <v>22052</v>
      </c>
      <c r="V664">
        <v>1</v>
      </c>
      <c r="W664" t="s">
        <v>35</v>
      </c>
      <c r="X664" t="s">
        <v>43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</row>
    <row r="665" spans="1:36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f>FLOOR(Table1_2[[#This Row],[MonthlyIncome]],1000)</f>
        <v>2000</v>
      </c>
      <c r="T665">
        <v>2693</v>
      </c>
      <c r="U665">
        <v>8870</v>
      </c>
      <c r="V665">
        <v>1</v>
      </c>
      <c r="W665" t="s">
        <v>35</v>
      </c>
      <c r="X665" t="s">
        <v>43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</row>
    <row r="666" spans="1:36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f>FLOOR(Table1_2[[#This Row],[MonthlyIncome]],1000)</f>
        <v>6000</v>
      </c>
      <c r="T666">
        <v>6586</v>
      </c>
      <c r="U666">
        <v>4821</v>
      </c>
      <c r="V666">
        <v>0</v>
      </c>
      <c r="W666" t="s">
        <v>35</v>
      </c>
      <c r="X666" t="s">
        <v>35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</row>
    <row r="667" spans="1:36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f>FLOOR(Table1_2[[#This Row],[MonthlyIncome]],1000)</f>
        <v>3000</v>
      </c>
      <c r="T667">
        <v>3294</v>
      </c>
      <c r="U667">
        <v>13137</v>
      </c>
      <c r="V667">
        <v>1</v>
      </c>
      <c r="W667" t="s">
        <v>35</v>
      </c>
      <c r="X667" t="s">
        <v>35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</row>
    <row r="668" spans="1:36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f>FLOOR(Table1_2[[#This Row],[MonthlyIncome]],1000)</f>
        <v>4000</v>
      </c>
      <c r="T668">
        <v>4171</v>
      </c>
      <c r="U668">
        <v>10022</v>
      </c>
      <c r="V668">
        <v>0</v>
      </c>
      <c r="W668" t="s">
        <v>35</v>
      </c>
      <c r="X668" t="s">
        <v>35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</row>
    <row r="669" spans="1:36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f>FLOOR(Table1_2[[#This Row],[MonthlyIncome]],1000)</f>
        <v>2000</v>
      </c>
      <c r="T669">
        <v>2778</v>
      </c>
      <c r="U669">
        <v>17725</v>
      </c>
      <c r="V669">
        <v>4</v>
      </c>
      <c r="W669" t="s">
        <v>35</v>
      </c>
      <c r="X669" t="s">
        <v>35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</row>
    <row r="670" spans="1:36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f>FLOOR(Table1_2[[#This Row],[MonthlyIncome]],1000)</f>
        <v>2000</v>
      </c>
      <c r="T670">
        <v>2377</v>
      </c>
      <c r="U670">
        <v>9834</v>
      </c>
      <c r="V670">
        <v>5</v>
      </c>
      <c r="W670" t="s">
        <v>35</v>
      </c>
      <c r="X670" t="s">
        <v>43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</row>
    <row r="671" spans="1:36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f>FLOOR(Table1_2[[#This Row],[MonthlyIncome]],1000)</f>
        <v>2000</v>
      </c>
      <c r="T671">
        <v>2404</v>
      </c>
      <c r="U671">
        <v>4303</v>
      </c>
      <c r="V671">
        <v>7</v>
      </c>
      <c r="W671" t="s">
        <v>35</v>
      </c>
      <c r="X671" t="s">
        <v>35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</row>
    <row r="672" spans="1:36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f>FLOOR(Table1_2[[#This Row],[MonthlyIncome]],1000)</f>
        <v>2000</v>
      </c>
      <c r="T672">
        <v>2318</v>
      </c>
      <c r="U672">
        <v>17808</v>
      </c>
      <c r="V672">
        <v>1</v>
      </c>
      <c r="W672" t="s">
        <v>35</v>
      </c>
      <c r="X672" t="s">
        <v>43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</row>
    <row r="673" spans="1:36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f>FLOOR(Table1_2[[#This Row],[MonthlyIncome]],1000)</f>
        <v>2000</v>
      </c>
      <c r="T673">
        <v>2008</v>
      </c>
      <c r="U673">
        <v>6896</v>
      </c>
      <c r="V673">
        <v>1</v>
      </c>
      <c r="W673" t="s">
        <v>35</v>
      </c>
      <c r="X673" t="s">
        <v>43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</row>
    <row r="674" spans="1:36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f>FLOOR(Table1_2[[#This Row],[MonthlyIncome]],1000)</f>
        <v>6000</v>
      </c>
      <c r="T674">
        <v>6244</v>
      </c>
      <c r="U674">
        <v>7824</v>
      </c>
      <c r="V674">
        <v>7</v>
      </c>
      <c r="W674" t="s">
        <v>35</v>
      </c>
      <c r="X674" t="s">
        <v>43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</row>
    <row r="675" spans="1:36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f>FLOOR(Table1_2[[#This Row],[MonthlyIncome]],1000)</f>
        <v>2000</v>
      </c>
      <c r="T675">
        <v>2799</v>
      </c>
      <c r="U675">
        <v>3339</v>
      </c>
      <c r="V675">
        <v>3</v>
      </c>
      <c r="W675" t="s">
        <v>35</v>
      </c>
      <c r="X675" t="s">
        <v>35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</row>
    <row r="676" spans="1:36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f>FLOOR(Table1_2[[#This Row],[MonthlyIncome]],1000)</f>
        <v>10000</v>
      </c>
      <c r="T676">
        <v>10552</v>
      </c>
      <c r="U676">
        <v>9255</v>
      </c>
      <c r="V676">
        <v>2</v>
      </c>
      <c r="W676" t="s">
        <v>35</v>
      </c>
      <c r="X676" t="s">
        <v>35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</row>
    <row r="677" spans="1:36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f>FLOOR(Table1_2[[#This Row],[MonthlyIncome]],1000)</f>
        <v>2000</v>
      </c>
      <c r="T677">
        <v>2329</v>
      </c>
      <c r="U677">
        <v>11737</v>
      </c>
      <c r="V677">
        <v>3</v>
      </c>
      <c r="W677" t="s">
        <v>35</v>
      </c>
      <c r="X677" t="s">
        <v>43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</row>
    <row r="678" spans="1:36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f>FLOOR(Table1_2[[#This Row],[MonthlyIncome]],1000)</f>
        <v>4000</v>
      </c>
      <c r="T678">
        <v>4014</v>
      </c>
      <c r="U678">
        <v>19170</v>
      </c>
      <c r="V678">
        <v>1</v>
      </c>
      <c r="W678" t="s">
        <v>35</v>
      </c>
      <c r="X678" t="s">
        <v>35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</row>
    <row r="679" spans="1:36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f>FLOOR(Table1_2[[#This Row],[MonthlyIncome]],1000)</f>
        <v>7000</v>
      </c>
      <c r="T679">
        <v>7403</v>
      </c>
      <c r="U679">
        <v>22477</v>
      </c>
      <c r="V679">
        <v>4</v>
      </c>
      <c r="W679" t="s">
        <v>35</v>
      </c>
      <c r="X679" t="s">
        <v>43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</row>
    <row r="680" spans="1:36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f>FLOOR(Table1_2[[#This Row],[MonthlyIncome]],1000)</f>
        <v>2000</v>
      </c>
      <c r="T680">
        <v>2259</v>
      </c>
      <c r="U680">
        <v>5543</v>
      </c>
      <c r="V680">
        <v>4</v>
      </c>
      <c r="W680" t="s">
        <v>35</v>
      </c>
      <c r="X680" t="s">
        <v>43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</row>
    <row r="681" spans="1:36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f>FLOOR(Table1_2[[#This Row],[MonthlyIncome]],1000)</f>
        <v>6000</v>
      </c>
      <c r="T681">
        <v>6932</v>
      </c>
      <c r="U681">
        <v>24406</v>
      </c>
      <c r="V681">
        <v>1</v>
      </c>
      <c r="W681" t="s">
        <v>35</v>
      </c>
      <c r="X681" t="s">
        <v>43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</row>
    <row r="682" spans="1:36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f>FLOOR(Table1_2[[#This Row],[MonthlyIncome]],1000)</f>
        <v>4000</v>
      </c>
      <c r="T682">
        <v>4678</v>
      </c>
      <c r="U682">
        <v>23293</v>
      </c>
      <c r="V682">
        <v>2</v>
      </c>
      <c r="W682" t="s">
        <v>35</v>
      </c>
      <c r="X682" t="s">
        <v>43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</row>
    <row r="683" spans="1:36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f>FLOOR(Table1_2[[#This Row],[MonthlyIncome]],1000)</f>
        <v>13000</v>
      </c>
      <c r="T683">
        <v>13582</v>
      </c>
      <c r="U683">
        <v>16292</v>
      </c>
      <c r="V683">
        <v>1</v>
      </c>
      <c r="W683" t="s">
        <v>35</v>
      </c>
      <c r="X683" t="s">
        <v>43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</row>
    <row r="684" spans="1:36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f>FLOOR(Table1_2[[#This Row],[MonthlyIncome]],1000)</f>
        <v>2000</v>
      </c>
      <c r="T684">
        <v>2332</v>
      </c>
      <c r="U684">
        <v>3974</v>
      </c>
      <c r="V684">
        <v>6</v>
      </c>
      <c r="W684" t="s">
        <v>35</v>
      </c>
      <c r="X684" t="s">
        <v>43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</row>
    <row r="685" spans="1:36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f>FLOOR(Table1_2[[#This Row],[MonthlyIncome]],1000)</f>
        <v>2000</v>
      </c>
      <c r="T685">
        <v>2413</v>
      </c>
      <c r="U685">
        <v>18798</v>
      </c>
      <c r="V685">
        <v>1</v>
      </c>
      <c r="W685" t="s">
        <v>35</v>
      </c>
      <c r="X685" t="s">
        <v>35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</row>
    <row r="686" spans="1:36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f>FLOOR(Table1_2[[#This Row],[MonthlyIncome]],1000)</f>
        <v>9000</v>
      </c>
      <c r="T686">
        <v>9705</v>
      </c>
      <c r="U686">
        <v>20652</v>
      </c>
      <c r="V686">
        <v>2</v>
      </c>
      <c r="W686" t="s">
        <v>35</v>
      </c>
      <c r="X686" t="s">
        <v>43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</row>
    <row r="687" spans="1:36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f>FLOOR(Table1_2[[#This Row],[MonthlyIncome]],1000)</f>
        <v>4000</v>
      </c>
      <c r="T687">
        <v>4294</v>
      </c>
      <c r="U687">
        <v>11148</v>
      </c>
      <c r="V687">
        <v>1</v>
      </c>
      <c r="W687" t="s">
        <v>35</v>
      </c>
      <c r="X687" t="s">
        <v>43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</row>
    <row r="688" spans="1:36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f>FLOOR(Table1_2[[#This Row],[MonthlyIncome]],1000)</f>
        <v>4000</v>
      </c>
      <c r="T688">
        <v>4721</v>
      </c>
      <c r="U688">
        <v>3119</v>
      </c>
      <c r="V688">
        <v>2</v>
      </c>
      <c r="W688" t="s">
        <v>35</v>
      </c>
      <c r="X688" t="s">
        <v>35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</row>
    <row r="689" spans="1:36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f>FLOOR(Table1_2[[#This Row],[MonthlyIncome]],1000)</f>
        <v>2000</v>
      </c>
      <c r="T689">
        <v>2519</v>
      </c>
      <c r="U689">
        <v>12287</v>
      </c>
      <c r="V689">
        <v>4</v>
      </c>
      <c r="W689" t="s">
        <v>35</v>
      </c>
      <c r="X689" t="s">
        <v>43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</row>
    <row r="690" spans="1:36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f>FLOOR(Table1_2[[#This Row],[MonthlyIncome]],1000)</f>
        <v>2000</v>
      </c>
      <c r="T690">
        <v>2121</v>
      </c>
      <c r="U690">
        <v>9947</v>
      </c>
      <c r="V690">
        <v>1</v>
      </c>
      <c r="W690" t="s">
        <v>35</v>
      </c>
      <c r="X690" t="s">
        <v>35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</row>
    <row r="691" spans="1:36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f>FLOOR(Table1_2[[#This Row],[MonthlyIncome]],1000)</f>
        <v>2000</v>
      </c>
      <c r="T691">
        <v>2973</v>
      </c>
      <c r="U691">
        <v>13008</v>
      </c>
      <c r="V691">
        <v>1</v>
      </c>
      <c r="W691" t="s">
        <v>35</v>
      </c>
      <c r="X691" t="s">
        <v>43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</row>
    <row r="692" spans="1:36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f>FLOOR(Table1_2[[#This Row],[MonthlyIncome]],1000)</f>
        <v>5000</v>
      </c>
      <c r="T692">
        <v>5855</v>
      </c>
      <c r="U692">
        <v>17369</v>
      </c>
      <c r="V692">
        <v>0</v>
      </c>
      <c r="W692" t="s">
        <v>35</v>
      </c>
      <c r="X692" t="s">
        <v>35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</row>
    <row r="693" spans="1:36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f>FLOOR(Table1_2[[#This Row],[MonthlyIncome]],1000)</f>
        <v>3000</v>
      </c>
      <c r="T693">
        <v>3617</v>
      </c>
      <c r="U693">
        <v>25063</v>
      </c>
      <c r="V693">
        <v>8</v>
      </c>
      <c r="W693" t="s">
        <v>35</v>
      </c>
      <c r="X693" t="s">
        <v>35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</row>
    <row r="694" spans="1:36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f>FLOOR(Table1_2[[#This Row],[MonthlyIncome]],1000)</f>
        <v>6000</v>
      </c>
      <c r="T694">
        <v>6725</v>
      </c>
      <c r="U694">
        <v>13554</v>
      </c>
      <c r="V694">
        <v>1</v>
      </c>
      <c r="W694" t="s">
        <v>35</v>
      </c>
      <c r="X694" t="s">
        <v>43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</row>
    <row r="695" spans="1:36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f>FLOOR(Table1_2[[#This Row],[MonthlyIncome]],1000)</f>
        <v>10000</v>
      </c>
      <c r="T695">
        <v>10325</v>
      </c>
      <c r="U695">
        <v>5518</v>
      </c>
      <c r="V695">
        <v>1</v>
      </c>
      <c r="W695" t="s">
        <v>35</v>
      </c>
      <c r="X695" t="s">
        <v>35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</row>
    <row r="696" spans="1:36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f>FLOOR(Table1_2[[#This Row],[MonthlyIncome]],1000)</f>
        <v>6000</v>
      </c>
      <c r="T696">
        <v>6949</v>
      </c>
      <c r="U696">
        <v>12291</v>
      </c>
      <c r="V696">
        <v>0</v>
      </c>
      <c r="W696" t="s">
        <v>35</v>
      </c>
      <c r="X696" t="s">
        <v>43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</row>
    <row r="697" spans="1:36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f>FLOOR(Table1_2[[#This Row],[MonthlyIncome]],1000)</f>
        <v>10000</v>
      </c>
      <c r="T697">
        <v>10609</v>
      </c>
      <c r="U697">
        <v>14922</v>
      </c>
      <c r="V697">
        <v>5</v>
      </c>
      <c r="W697" t="s">
        <v>35</v>
      </c>
      <c r="X697" t="s">
        <v>43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</row>
    <row r="698" spans="1:36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f>FLOOR(Table1_2[[#This Row],[MonthlyIncome]],1000)</f>
        <v>4000</v>
      </c>
      <c r="T698">
        <v>4447</v>
      </c>
      <c r="U698">
        <v>23163</v>
      </c>
      <c r="V698">
        <v>1</v>
      </c>
      <c r="W698" t="s">
        <v>35</v>
      </c>
      <c r="X698" t="s">
        <v>43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</row>
    <row r="699" spans="1:36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f>FLOOR(Table1_2[[#This Row],[MonthlyIncome]],1000)</f>
        <v>2000</v>
      </c>
      <c r="T699">
        <v>2157</v>
      </c>
      <c r="U699">
        <v>18203</v>
      </c>
      <c r="V699">
        <v>1</v>
      </c>
      <c r="W699" t="s">
        <v>35</v>
      </c>
      <c r="X699" t="s">
        <v>43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</row>
    <row r="700" spans="1:36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f>FLOOR(Table1_2[[#This Row],[MonthlyIncome]],1000)</f>
        <v>4000</v>
      </c>
      <c r="T700">
        <v>4601</v>
      </c>
      <c r="U700">
        <v>6179</v>
      </c>
      <c r="V700">
        <v>1</v>
      </c>
      <c r="W700" t="s">
        <v>35</v>
      </c>
      <c r="X700" t="s">
        <v>43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</row>
    <row r="701" spans="1:36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f>FLOOR(Table1_2[[#This Row],[MonthlyIncome]],1000)</f>
        <v>17000</v>
      </c>
      <c r="T701">
        <v>17099</v>
      </c>
      <c r="U701">
        <v>13829</v>
      </c>
      <c r="V701">
        <v>2</v>
      </c>
      <c r="W701" t="s">
        <v>35</v>
      </c>
      <c r="X701" t="s">
        <v>43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</row>
    <row r="702" spans="1:36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f>FLOOR(Table1_2[[#This Row],[MonthlyIncome]],1000)</f>
        <v>2000</v>
      </c>
      <c r="T702">
        <v>2479</v>
      </c>
      <c r="U702">
        <v>26227</v>
      </c>
      <c r="V702">
        <v>4</v>
      </c>
      <c r="W702" t="s">
        <v>35</v>
      </c>
      <c r="X702" t="s">
        <v>43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</row>
    <row r="703" spans="1:36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f>FLOOR(Table1_2[[#This Row],[MonthlyIncome]],1000)</f>
        <v>14000</v>
      </c>
      <c r="T703">
        <v>14852</v>
      </c>
      <c r="U703">
        <v>13938</v>
      </c>
      <c r="V703">
        <v>6</v>
      </c>
      <c r="W703" t="s">
        <v>35</v>
      </c>
      <c r="X703" t="s">
        <v>43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</row>
    <row r="704" spans="1:36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f>FLOOR(Table1_2[[#This Row],[MonthlyIncome]],1000)</f>
        <v>7000</v>
      </c>
      <c r="T704">
        <v>7264</v>
      </c>
      <c r="U704">
        <v>9977</v>
      </c>
      <c r="V704">
        <v>5</v>
      </c>
      <c r="W704" t="s">
        <v>35</v>
      </c>
      <c r="X704" t="s">
        <v>43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</row>
    <row r="705" spans="1:36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f>FLOOR(Table1_2[[#This Row],[MonthlyIncome]],1000)</f>
        <v>5000</v>
      </c>
      <c r="T705">
        <v>5666</v>
      </c>
      <c r="U705">
        <v>19899</v>
      </c>
      <c r="V705">
        <v>1</v>
      </c>
      <c r="W705" t="s">
        <v>35</v>
      </c>
      <c r="X705" t="s">
        <v>35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</row>
    <row r="706" spans="1:36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f>FLOOR(Table1_2[[#This Row],[MonthlyIncome]],1000)</f>
        <v>7000</v>
      </c>
      <c r="T706">
        <v>7823</v>
      </c>
      <c r="U706">
        <v>6812</v>
      </c>
      <c r="V706">
        <v>6</v>
      </c>
      <c r="W706" t="s">
        <v>35</v>
      </c>
      <c r="X706" t="s">
        <v>43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</row>
    <row r="707" spans="1:36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f>FLOOR(Table1_2[[#This Row],[MonthlyIncome]],1000)</f>
        <v>7000</v>
      </c>
      <c r="T707">
        <v>7880</v>
      </c>
      <c r="U707">
        <v>2560</v>
      </c>
      <c r="V707">
        <v>0</v>
      </c>
      <c r="W707" t="s">
        <v>35</v>
      </c>
      <c r="X707" t="s">
        <v>43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</row>
    <row r="708" spans="1:36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f>FLOOR(Table1_2[[#This Row],[MonthlyIncome]],1000)</f>
        <v>13000</v>
      </c>
      <c r="T708">
        <v>13194</v>
      </c>
      <c r="U708">
        <v>17071</v>
      </c>
      <c r="V708">
        <v>4</v>
      </c>
      <c r="W708" t="s">
        <v>35</v>
      </c>
      <c r="X708" t="s">
        <v>35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</row>
    <row r="709" spans="1:36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f>FLOOR(Table1_2[[#This Row],[MonthlyIncome]],1000)</f>
        <v>5000</v>
      </c>
      <c r="T709">
        <v>5067</v>
      </c>
      <c r="U709">
        <v>6759</v>
      </c>
      <c r="V709">
        <v>1</v>
      </c>
      <c r="W709" t="s">
        <v>35</v>
      </c>
      <c r="X709" t="s">
        <v>35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</row>
    <row r="710" spans="1:36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f>FLOOR(Table1_2[[#This Row],[MonthlyIncome]],1000)</f>
        <v>5000</v>
      </c>
      <c r="T710">
        <v>5079</v>
      </c>
      <c r="U710">
        <v>25952</v>
      </c>
      <c r="V710">
        <v>4</v>
      </c>
      <c r="W710" t="s">
        <v>35</v>
      </c>
      <c r="X710" t="s">
        <v>43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</row>
    <row r="711" spans="1:36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f>FLOOR(Table1_2[[#This Row],[MonthlyIncome]],1000)</f>
        <v>2000</v>
      </c>
      <c r="T711">
        <v>2321</v>
      </c>
      <c r="U711">
        <v>10322</v>
      </c>
      <c r="V711">
        <v>0</v>
      </c>
      <c r="W711" t="s">
        <v>35</v>
      </c>
      <c r="X711" t="s">
        <v>35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</row>
    <row r="712" spans="1:36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f>FLOOR(Table1_2[[#This Row],[MonthlyIncome]],1000)</f>
        <v>17000</v>
      </c>
      <c r="T712">
        <v>17444</v>
      </c>
      <c r="U712">
        <v>20489</v>
      </c>
      <c r="V712">
        <v>1</v>
      </c>
      <c r="W712" t="s">
        <v>35</v>
      </c>
      <c r="X712" t="s">
        <v>43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</row>
    <row r="713" spans="1:36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f>FLOOR(Table1_2[[#This Row],[MonthlyIncome]],1000)</f>
        <v>2000</v>
      </c>
      <c r="T713">
        <v>2404</v>
      </c>
      <c r="U713">
        <v>11479</v>
      </c>
      <c r="V713">
        <v>6</v>
      </c>
      <c r="W713" t="s">
        <v>35</v>
      </c>
      <c r="X713" t="s">
        <v>35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</row>
    <row r="714" spans="1:36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f>FLOOR(Table1_2[[#This Row],[MonthlyIncome]],1000)</f>
        <v>3000</v>
      </c>
      <c r="T714">
        <v>3452</v>
      </c>
      <c r="U714">
        <v>17241</v>
      </c>
      <c r="V714">
        <v>3</v>
      </c>
      <c r="W714" t="s">
        <v>35</v>
      </c>
      <c r="X714" t="s">
        <v>43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</row>
    <row r="715" spans="1:36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f>FLOOR(Table1_2[[#This Row],[MonthlyIncome]],1000)</f>
        <v>2000</v>
      </c>
      <c r="T715">
        <v>2270</v>
      </c>
      <c r="U715">
        <v>11005</v>
      </c>
      <c r="V715">
        <v>3</v>
      </c>
      <c r="W715" t="s">
        <v>35</v>
      </c>
      <c r="X715" t="s">
        <v>43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</row>
    <row r="716" spans="1:36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f>FLOOR(Table1_2[[#This Row],[MonthlyIncome]],1000)</f>
        <v>17000</v>
      </c>
      <c r="T716">
        <v>17399</v>
      </c>
      <c r="U716">
        <v>6615</v>
      </c>
      <c r="V716">
        <v>9</v>
      </c>
      <c r="W716" t="s">
        <v>35</v>
      </c>
      <c r="X716" t="s">
        <v>43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</row>
    <row r="717" spans="1:36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f>FLOOR(Table1_2[[#This Row],[MonthlyIncome]],1000)</f>
        <v>5000</v>
      </c>
      <c r="T717">
        <v>5488</v>
      </c>
      <c r="U717">
        <v>20161</v>
      </c>
      <c r="V717">
        <v>1</v>
      </c>
      <c r="W717" t="s">
        <v>35</v>
      </c>
      <c r="X717" t="s">
        <v>35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</row>
    <row r="718" spans="1:36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f>FLOOR(Table1_2[[#This Row],[MonthlyIncome]],1000)</f>
        <v>19000</v>
      </c>
      <c r="T718">
        <v>19419</v>
      </c>
      <c r="U718">
        <v>3735</v>
      </c>
      <c r="V718">
        <v>2</v>
      </c>
      <c r="W718" t="s">
        <v>35</v>
      </c>
      <c r="X718" t="s">
        <v>43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</row>
    <row r="719" spans="1:36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f>FLOOR(Table1_2[[#This Row],[MonthlyIncome]],1000)</f>
        <v>2000</v>
      </c>
      <c r="T719">
        <v>2811</v>
      </c>
      <c r="U719">
        <v>12086</v>
      </c>
      <c r="V719">
        <v>9</v>
      </c>
      <c r="W719" t="s">
        <v>35</v>
      </c>
      <c r="X719" t="s">
        <v>43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</row>
    <row r="720" spans="1:36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f>FLOOR(Table1_2[[#This Row],[MonthlyIncome]],1000)</f>
        <v>3000</v>
      </c>
      <c r="T720">
        <v>3633</v>
      </c>
      <c r="U720">
        <v>14039</v>
      </c>
      <c r="V720">
        <v>1</v>
      </c>
      <c r="W720" t="s">
        <v>35</v>
      </c>
      <c r="X720" t="s">
        <v>35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</row>
    <row r="721" spans="1:36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f>FLOOR(Table1_2[[#This Row],[MonthlyIncome]],1000)</f>
        <v>4000</v>
      </c>
      <c r="T721">
        <v>4163</v>
      </c>
      <c r="U721">
        <v>8571</v>
      </c>
      <c r="V721">
        <v>1</v>
      </c>
      <c r="W721" t="s">
        <v>35</v>
      </c>
      <c r="X721" t="s">
        <v>35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</row>
    <row r="722" spans="1:36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f>FLOOR(Table1_2[[#This Row],[MonthlyIncome]],1000)</f>
        <v>2000</v>
      </c>
      <c r="T722">
        <v>2132</v>
      </c>
      <c r="U722">
        <v>11539</v>
      </c>
      <c r="V722">
        <v>4</v>
      </c>
      <c r="W722" t="s">
        <v>35</v>
      </c>
      <c r="X722" t="s">
        <v>35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</row>
    <row r="723" spans="1:36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f>FLOOR(Table1_2[[#This Row],[MonthlyIncome]],1000)</f>
        <v>13000</v>
      </c>
      <c r="T723">
        <v>13973</v>
      </c>
      <c r="U723">
        <v>4161</v>
      </c>
      <c r="V723">
        <v>3</v>
      </c>
      <c r="W723" t="s">
        <v>35</v>
      </c>
      <c r="X723" t="s">
        <v>35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</row>
    <row r="724" spans="1:36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f>FLOOR(Table1_2[[#This Row],[MonthlyIncome]],1000)</f>
        <v>2000</v>
      </c>
      <c r="T724">
        <v>2684</v>
      </c>
      <c r="U724">
        <v>12127</v>
      </c>
      <c r="V724">
        <v>0</v>
      </c>
      <c r="W724" t="s">
        <v>35</v>
      </c>
      <c r="X724" t="s">
        <v>43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</row>
    <row r="725" spans="1:36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f>FLOOR(Table1_2[[#This Row],[MonthlyIncome]],1000)</f>
        <v>10000</v>
      </c>
      <c r="T725">
        <v>10845</v>
      </c>
      <c r="U725">
        <v>24208</v>
      </c>
      <c r="V725">
        <v>6</v>
      </c>
      <c r="W725" t="s">
        <v>35</v>
      </c>
      <c r="X725" t="s">
        <v>43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</row>
    <row r="726" spans="1:36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f>FLOOR(Table1_2[[#This Row],[MonthlyIncome]],1000)</f>
        <v>4000</v>
      </c>
      <c r="T726">
        <v>4377</v>
      </c>
      <c r="U726">
        <v>24117</v>
      </c>
      <c r="V726">
        <v>1</v>
      </c>
      <c r="W726" t="s">
        <v>35</v>
      </c>
      <c r="X726" t="s">
        <v>43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</row>
    <row r="727" spans="1:36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f>FLOOR(Table1_2[[#This Row],[MonthlyIncome]],1000)</f>
        <v>3000</v>
      </c>
      <c r="T727">
        <v>3743</v>
      </c>
      <c r="U727">
        <v>10074</v>
      </c>
      <c r="V727">
        <v>1</v>
      </c>
      <c r="W727" t="s">
        <v>35</v>
      </c>
      <c r="X727" t="s">
        <v>35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</row>
    <row r="728" spans="1:36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f>FLOOR(Table1_2[[#This Row],[MonthlyIncome]],1000)</f>
        <v>4000</v>
      </c>
      <c r="T728">
        <v>4148</v>
      </c>
      <c r="U728">
        <v>11275</v>
      </c>
      <c r="V728">
        <v>1</v>
      </c>
      <c r="W728" t="s">
        <v>35</v>
      </c>
      <c r="X728" t="s">
        <v>43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</row>
    <row r="729" spans="1:36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f>FLOOR(Table1_2[[#This Row],[MonthlyIncome]],1000)</f>
        <v>1000</v>
      </c>
      <c r="T729">
        <v>1051</v>
      </c>
      <c r="U729">
        <v>13493</v>
      </c>
      <c r="V729">
        <v>1</v>
      </c>
      <c r="W729" t="s">
        <v>35</v>
      </c>
      <c r="X729" t="s">
        <v>43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</row>
    <row r="730" spans="1:36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f>FLOOR(Table1_2[[#This Row],[MonthlyIncome]],1000)</f>
        <v>10000</v>
      </c>
      <c r="T730">
        <v>10739</v>
      </c>
      <c r="U730">
        <v>13943</v>
      </c>
      <c r="V730">
        <v>8</v>
      </c>
      <c r="W730" t="s">
        <v>35</v>
      </c>
      <c r="X730" t="s">
        <v>43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</row>
    <row r="731" spans="1:36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f>FLOOR(Table1_2[[#This Row],[MonthlyIncome]],1000)</f>
        <v>10000</v>
      </c>
      <c r="T731">
        <v>10388</v>
      </c>
      <c r="U731">
        <v>6975</v>
      </c>
      <c r="V731">
        <v>1</v>
      </c>
      <c r="W731" t="s">
        <v>35</v>
      </c>
      <c r="X731" t="s">
        <v>35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</row>
    <row r="732" spans="1:36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f>FLOOR(Table1_2[[#This Row],[MonthlyIncome]],1000)</f>
        <v>11000</v>
      </c>
      <c r="T732">
        <v>11416</v>
      </c>
      <c r="U732">
        <v>17802</v>
      </c>
      <c r="V732">
        <v>0</v>
      </c>
      <c r="W732" t="s">
        <v>35</v>
      </c>
      <c r="X732" t="s">
        <v>35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</row>
    <row r="733" spans="1:36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f>FLOOR(Table1_2[[#This Row],[MonthlyIncome]],1000)</f>
        <v>2000</v>
      </c>
      <c r="T733">
        <v>2600</v>
      </c>
      <c r="U733">
        <v>18275</v>
      </c>
      <c r="V733">
        <v>1</v>
      </c>
      <c r="W733" t="s">
        <v>35</v>
      </c>
      <c r="X733" t="s">
        <v>35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</row>
    <row r="734" spans="1:36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f>FLOOR(Table1_2[[#This Row],[MonthlyIncome]],1000)</f>
        <v>2000</v>
      </c>
      <c r="T734">
        <v>2422</v>
      </c>
      <c r="U734">
        <v>25725</v>
      </c>
      <c r="V734">
        <v>0</v>
      </c>
      <c r="W734" t="s">
        <v>35</v>
      </c>
      <c r="X734" t="s">
        <v>43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</row>
    <row r="735" spans="1:36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f>FLOOR(Table1_2[[#This Row],[MonthlyIncome]],1000)</f>
        <v>5000</v>
      </c>
      <c r="T735">
        <v>5472</v>
      </c>
      <c r="U735">
        <v>3334</v>
      </c>
      <c r="V735">
        <v>1</v>
      </c>
      <c r="W735" t="s">
        <v>35</v>
      </c>
      <c r="X735" t="s">
        <v>43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</row>
    <row r="736" spans="1:36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f>FLOOR(Table1_2[[#This Row],[MonthlyIncome]],1000)</f>
        <v>2000</v>
      </c>
      <c r="T736">
        <v>2451</v>
      </c>
      <c r="U736">
        <v>6881</v>
      </c>
      <c r="V736">
        <v>1</v>
      </c>
      <c r="W736" t="s">
        <v>35</v>
      </c>
      <c r="X736" t="s">
        <v>43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</row>
    <row r="737" spans="1:36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f>FLOOR(Table1_2[[#This Row],[MonthlyIncome]],1000)</f>
        <v>4000</v>
      </c>
      <c r="T737">
        <v>4240</v>
      </c>
      <c r="U737">
        <v>13119</v>
      </c>
      <c r="V737">
        <v>2</v>
      </c>
      <c r="W737" t="s">
        <v>35</v>
      </c>
      <c r="X737" t="s">
        <v>43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</row>
    <row r="738" spans="1:36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f>FLOOR(Table1_2[[#This Row],[MonthlyIncome]],1000)</f>
        <v>10000</v>
      </c>
      <c r="T738">
        <v>10999</v>
      </c>
      <c r="U738">
        <v>22245</v>
      </c>
      <c r="V738">
        <v>7</v>
      </c>
      <c r="W738" t="s">
        <v>35</v>
      </c>
      <c r="X738" t="s">
        <v>43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</row>
    <row r="739" spans="1:36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f>FLOOR(Table1_2[[#This Row],[MonthlyIncome]],1000)</f>
        <v>5000</v>
      </c>
      <c r="T739">
        <v>5003</v>
      </c>
      <c r="U739">
        <v>23371</v>
      </c>
      <c r="V739">
        <v>6</v>
      </c>
      <c r="W739" t="s">
        <v>35</v>
      </c>
      <c r="X739" t="s">
        <v>43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</row>
    <row r="740" spans="1:36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f>FLOOR(Table1_2[[#This Row],[MonthlyIncome]],1000)</f>
        <v>12000</v>
      </c>
      <c r="T740">
        <v>12742</v>
      </c>
      <c r="U740">
        <v>7060</v>
      </c>
      <c r="V740">
        <v>1</v>
      </c>
      <c r="W740" t="s">
        <v>35</v>
      </c>
      <c r="X740" t="s">
        <v>43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</row>
    <row r="741" spans="1:36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f>FLOOR(Table1_2[[#This Row],[MonthlyIncome]],1000)</f>
        <v>4000</v>
      </c>
      <c r="T741">
        <v>4227</v>
      </c>
      <c r="U741">
        <v>4658</v>
      </c>
      <c r="V741">
        <v>0</v>
      </c>
      <c r="W741" t="s">
        <v>35</v>
      </c>
      <c r="X741" t="s">
        <v>43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</row>
    <row r="742" spans="1:36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f>FLOOR(Table1_2[[#This Row],[MonthlyIncome]],1000)</f>
        <v>3000</v>
      </c>
      <c r="T742">
        <v>3917</v>
      </c>
      <c r="U742">
        <v>9541</v>
      </c>
      <c r="V742">
        <v>1</v>
      </c>
      <c r="W742" t="s">
        <v>35</v>
      </c>
      <c r="X742" t="s">
        <v>43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</row>
    <row r="743" spans="1:36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f>FLOOR(Table1_2[[#This Row],[MonthlyIncome]],1000)</f>
        <v>18000</v>
      </c>
      <c r="T743">
        <v>18303</v>
      </c>
      <c r="U743">
        <v>7770</v>
      </c>
      <c r="V743">
        <v>6</v>
      </c>
      <c r="W743" t="s">
        <v>35</v>
      </c>
      <c r="X743" t="s">
        <v>43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</row>
    <row r="744" spans="1:36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f>FLOOR(Table1_2[[#This Row],[MonthlyIncome]],1000)</f>
        <v>2000</v>
      </c>
      <c r="T744">
        <v>2380</v>
      </c>
      <c r="U744">
        <v>20165</v>
      </c>
      <c r="V744">
        <v>4</v>
      </c>
      <c r="W744" t="s">
        <v>35</v>
      </c>
      <c r="X744" t="s">
        <v>43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</row>
    <row r="745" spans="1:36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f>FLOOR(Table1_2[[#This Row],[MonthlyIncome]],1000)</f>
        <v>13000</v>
      </c>
      <c r="T745">
        <v>13726</v>
      </c>
      <c r="U745">
        <v>21829</v>
      </c>
      <c r="V745">
        <v>3</v>
      </c>
      <c r="W745" t="s">
        <v>35</v>
      </c>
      <c r="X745" t="s">
        <v>35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</row>
    <row r="746" spans="1:36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f>FLOOR(Table1_2[[#This Row],[MonthlyIncome]],1000)</f>
        <v>4000</v>
      </c>
      <c r="T746">
        <v>4777</v>
      </c>
      <c r="U746">
        <v>14382</v>
      </c>
      <c r="V746">
        <v>5</v>
      </c>
      <c r="W746" t="s">
        <v>35</v>
      </c>
      <c r="X746" t="s">
        <v>43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</row>
    <row r="747" spans="1:36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f>FLOOR(Table1_2[[#This Row],[MonthlyIncome]],1000)</f>
        <v>6000</v>
      </c>
      <c r="T747">
        <v>6385</v>
      </c>
      <c r="U747">
        <v>12992</v>
      </c>
      <c r="V747">
        <v>3</v>
      </c>
      <c r="W747" t="s">
        <v>35</v>
      </c>
      <c r="X747" t="s">
        <v>35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</row>
    <row r="748" spans="1:36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f>FLOOR(Table1_2[[#This Row],[MonthlyIncome]],1000)</f>
        <v>19000</v>
      </c>
      <c r="T748">
        <v>19973</v>
      </c>
      <c r="U748">
        <v>20284</v>
      </c>
      <c r="V748">
        <v>1</v>
      </c>
      <c r="W748" t="s">
        <v>35</v>
      </c>
      <c r="X748" t="s">
        <v>43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</row>
    <row r="749" spans="1:36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f>FLOOR(Table1_2[[#This Row],[MonthlyIncome]],1000)</f>
        <v>6000</v>
      </c>
      <c r="T749">
        <v>6861</v>
      </c>
      <c r="U749">
        <v>4981</v>
      </c>
      <c r="V749">
        <v>8</v>
      </c>
      <c r="W749" t="s">
        <v>35</v>
      </c>
      <c r="X749" t="s">
        <v>35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</row>
    <row r="750" spans="1:36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f>FLOOR(Table1_2[[#This Row],[MonthlyIncome]],1000)</f>
        <v>4000</v>
      </c>
      <c r="T750">
        <v>4969</v>
      </c>
      <c r="U750">
        <v>21813</v>
      </c>
      <c r="V750">
        <v>8</v>
      </c>
      <c r="W750" t="s">
        <v>35</v>
      </c>
      <c r="X750" t="s">
        <v>43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</row>
    <row r="751" spans="1:36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f>FLOOR(Table1_2[[#This Row],[MonthlyIncome]],1000)</f>
        <v>19000</v>
      </c>
      <c r="T751">
        <v>19845</v>
      </c>
      <c r="U751">
        <v>25846</v>
      </c>
      <c r="V751">
        <v>1</v>
      </c>
      <c r="W751" t="s">
        <v>35</v>
      </c>
      <c r="X751" t="s">
        <v>43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</row>
    <row r="752" spans="1:36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f>FLOOR(Table1_2[[#This Row],[MonthlyIncome]],1000)</f>
        <v>13000</v>
      </c>
      <c r="T752">
        <v>13320</v>
      </c>
      <c r="U752">
        <v>11737</v>
      </c>
      <c r="V752">
        <v>3</v>
      </c>
      <c r="W752" t="s">
        <v>35</v>
      </c>
      <c r="X752" t="s">
        <v>35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</row>
    <row r="753" spans="1:36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f>FLOOR(Table1_2[[#This Row],[MonthlyIncome]],1000)</f>
        <v>6000</v>
      </c>
      <c r="T753">
        <v>6347</v>
      </c>
      <c r="U753">
        <v>24920</v>
      </c>
      <c r="V753">
        <v>0</v>
      </c>
      <c r="W753" t="s">
        <v>35</v>
      </c>
      <c r="X753" t="s">
        <v>43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</row>
    <row r="754" spans="1:36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f>FLOOR(Table1_2[[#This Row],[MonthlyIncome]],1000)</f>
        <v>2000</v>
      </c>
      <c r="T754">
        <v>2743</v>
      </c>
      <c r="U754">
        <v>8269</v>
      </c>
      <c r="V754">
        <v>1</v>
      </c>
      <c r="W754" t="s">
        <v>35</v>
      </c>
      <c r="X754" t="s">
        <v>43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</row>
    <row r="755" spans="1:36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f>FLOOR(Table1_2[[#This Row],[MonthlyIncome]],1000)</f>
        <v>10000</v>
      </c>
      <c r="T755">
        <v>10880</v>
      </c>
      <c r="U755">
        <v>5083</v>
      </c>
      <c r="V755">
        <v>1</v>
      </c>
      <c r="W755" t="s">
        <v>35</v>
      </c>
      <c r="X755" t="s">
        <v>35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</row>
    <row r="756" spans="1:36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f>FLOOR(Table1_2[[#This Row],[MonthlyIncome]],1000)</f>
        <v>2000</v>
      </c>
      <c r="T756">
        <v>2342</v>
      </c>
      <c r="U756">
        <v>21437</v>
      </c>
      <c r="V756">
        <v>0</v>
      </c>
      <c r="W756" t="s">
        <v>35</v>
      </c>
      <c r="X756" t="s">
        <v>43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</row>
    <row r="757" spans="1:36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f>FLOOR(Table1_2[[#This Row],[MonthlyIncome]],1000)</f>
        <v>17000</v>
      </c>
      <c r="T757">
        <v>17650</v>
      </c>
      <c r="U757">
        <v>5404</v>
      </c>
      <c r="V757">
        <v>3</v>
      </c>
      <c r="W757" t="s">
        <v>35</v>
      </c>
      <c r="X757" t="s">
        <v>43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</row>
    <row r="758" spans="1:36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f>FLOOR(Table1_2[[#This Row],[MonthlyIncome]],1000)</f>
        <v>4000</v>
      </c>
      <c r="T758">
        <v>4025</v>
      </c>
      <c r="U758">
        <v>11135</v>
      </c>
      <c r="V758">
        <v>9</v>
      </c>
      <c r="W758" t="s">
        <v>35</v>
      </c>
      <c r="X758" t="s">
        <v>43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</row>
    <row r="759" spans="1:36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f>FLOOR(Table1_2[[#This Row],[MonthlyIncome]],1000)</f>
        <v>9000</v>
      </c>
      <c r="T759">
        <v>9725</v>
      </c>
      <c r="U759">
        <v>12278</v>
      </c>
      <c r="V759">
        <v>0</v>
      </c>
      <c r="W759" t="s">
        <v>35</v>
      </c>
      <c r="X759" t="s">
        <v>43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</row>
    <row r="760" spans="1:36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f>FLOOR(Table1_2[[#This Row],[MonthlyIncome]],1000)</f>
        <v>11000</v>
      </c>
      <c r="T760">
        <v>11904</v>
      </c>
      <c r="U760">
        <v>11038</v>
      </c>
      <c r="V760">
        <v>3</v>
      </c>
      <c r="W760" t="s">
        <v>35</v>
      </c>
      <c r="X760" t="s">
        <v>35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</row>
    <row r="761" spans="1:36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f>FLOOR(Table1_2[[#This Row],[MonthlyIncome]],1000)</f>
        <v>2000</v>
      </c>
      <c r="T761">
        <v>2177</v>
      </c>
      <c r="U761">
        <v>8318</v>
      </c>
      <c r="V761">
        <v>1</v>
      </c>
      <c r="W761" t="s">
        <v>35</v>
      </c>
      <c r="X761" t="s">
        <v>43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</row>
    <row r="762" spans="1:36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f>FLOOR(Table1_2[[#This Row],[MonthlyIncome]],1000)</f>
        <v>7000</v>
      </c>
      <c r="T762">
        <v>7525</v>
      </c>
      <c r="U762">
        <v>23537</v>
      </c>
      <c r="V762">
        <v>2</v>
      </c>
      <c r="W762" t="s">
        <v>35</v>
      </c>
      <c r="X762" t="s">
        <v>43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</row>
    <row r="763" spans="1:36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f>FLOOR(Table1_2[[#This Row],[MonthlyIncome]],1000)</f>
        <v>4000</v>
      </c>
      <c r="T763">
        <v>4834</v>
      </c>
      <c r="U763">
        <v>7858</v>
      </c>
      <c r="V763">
        <v>7</v>
      </c>
      <c r="W763" t="s">
        <v>35</v>
      </c>
      <c r="X763" t="s">
        <v>43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</row>
    <row r="764" spans="1:36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f>FLOOR(Table1_2[[#This Row],[MonthlyIncome]],1000)</f>
        <v>2000</v>
      </c>
      <c r="T764">
        <v>2042</v>
      </c>
      <c r="U764">
        <v>15346</v>
      </c>
      <c r="V764">
        <v>6</v>
      </c>
      <c r="W764" t="s">
        <v>35</v>
      </c>
      <c r="X764" t="s">
        <v>35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</row>
    <row r="765" spans="1:36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f>FLOOR(Table1_2[[#This Row],[MonthlyIncome]],1000)</f>
        <v>2000</v>
      </c>
      <c r="T765">
        <v>2220</v>
      </c>
      <c r="U765">
        <v>18410</v>
      </c>
      <c r="V765">
        <v>1</v>
      </c>
      <c r="W765" t="s">
        <v>35</v>
      </c>
      <c r="X765" t="s">
        <v>35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</row>
    <row r="766" spans="1:36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f>FLOOR(Table1_2[[#This Row],[MonthlyIncome]],1000)</f>
        <v>1000</v>
      </c>
      <c r="T766">
        <v>1052</v>
      </c>
      <c r="U766">
        <v>23384</v>
      </c>
      <c r="V766">
        <v>1</v>
      </c>
      <c r="W766" t="s">
        <v>35</v>
      </c>
      <c r="X766" t="s">
        <v>43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</row>
    <row r="767" spans="1:36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f>FLOOR(Table1_2[[#This Row],[MonthlyIncome]],1000)</f>
        <v>2000</v>
      </c>
      <c r="T767">
        <v>2821</v>
      </c>
      <c r="U767">
        <v>2997</v>
      </c>
      <c r="V767">
        <v>3</v>
      </c>
      <c r="W767" t="s">
        <v>35</v>
      </c>
      <c r="X767" t="s">
        <v>43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</row>
    <row r="768" spans="1:36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f>FLOOR(Table1_2[[#This Row],[MonthlyIncome]],1000)</f>
        <v>19000</v>
      </c>
      <c r="T768">
        <v>19237</v>
      </c>
      <c r="U768">
        <v>12853</v>
      </c>
      <c r="V768">
        <v>2</v>
      </c>
      <c r="W768" t="s">
        <v>35</v>
      </c>
      <c r="X768" t="s">
        <v>35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</row>
    <row r="769" spans="1:36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f>FLOOR(Table1_2[[#This Row],[MonthlyIncome]],1000)</f>
        <v>4000</v>
      </c>
      <c r="T769">
        <v>4107</v>
      </c>
      <c r="U769">
        <v>13848</v>
      </c>
      <c r="V769">
        <v>3</v>
      </c>
      <c r="W769" t="s">
        <v>35</v>
      </c>
      <c r="X769" t="s">
        <v>43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</row>
    <row r="770" spans="1:36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f>FLOOR(Table1_2[[#This Row],[MonthlyIncome]],1000)</f>
        <v>8000</v>
      </c>
      <c r="T770">
        <v>8396</v>
      </c>
      <c r="U770">
        <v>22217</v>
      </c>
      <c r="V770">
        <v>1</v>
      </c>
      <c r="W770" t="s">
        <v>35</v>
      </c>
      <c r="X770" t="s">
        <v>43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</row>
    <row r="771" spans="1:36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f>FLOOR(Table1_2[[#This Row],[MonthlyIncome]],1000)</f>
        <v>2000</v>
      </c>
      <c r="T771">
        <v>2007</v>
      </c>
      <c r="U771">
        <v>25265</v>
      </c>
      <c r="V771">
        <v>1</v>
      </c>
      <c r="W771" t="s">
        <v>35</v>
      </c>
      <c r="X771" t="s">
        <v>43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</row>
    <row r="772" spans="1:36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f>FLOOR(Table1_2[[#This Row],[MonthlyIncome]],1000)</f>
        <v>19000</v>
      </c>
      <c r="T772">
        <v>19627</v>
      </c>
      <c r="U772">
        <v>21445</v>
      </c>
      <c r="V772">
        <v>9</v>
      </c>
      <c r="W772" t="s">
        <v>35</v>
      </c>
      <c r="X772" t="s">
        <v>43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</row>
    <row r="773" spans="1:36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f>FLOOR(Table1_2[[#This Row],[MonthlyIncome]],1000)</f>
        <v>10000</v>
      </c>
      <c r="T773">
        <v>10686</v>
      </c>
      <c r="U773">
        <v>8392</v>
      </c>
      <c r="V773">
        <v>6</v>
      </c>
      <c r="W773" t="s">
        <v>35</v>
      </c>
      <c r="X773" t="s">
        <v>43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</row>
    <row r="774" spans="1:36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f>FLOOR(Table1_2[[#This Row],[MonthlyIncome]],1000)</f>
        <v>2000</v>
      </c>
      <c r="T774">
        <v>2942</v>
      </c>
      <c r="U774">
        <v>12154</v>
      </c>
      <c r="V774">
        <v>2</v>
      </c>
      <c r="W774" t="s">
        <v>35</v>
      </c>
      <c r="X774" t="s">
        <v>43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</row>
    <row r="775" spans="1:36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f>FLOOR(Table1_2[[#This Row],[MonthlyIncome]],1000)</f>
        <v>8000</v>
      </c>
      <c r="T775">
        <v>8858</v>
      </c>
      <c r="U775">
        <v>15669</v>
      </c>
      <c r="V775">
        <v>0</v>
      </c>
      <c r="W775" t="s">
        <v>35</v>
      </c>
      <c r="X775" t="s">
        <v>43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</row>
    <row r="776" spans="1:36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f>FLOOR(Table1_2[[#This Row],[MonthlyIncome]],1000)</f>
        <v>16000</v>
      </c>
      <c r="T776">
        <v>16756</v>
      </c>
      <c r="U776">
        <v>17323</v>
      </c>
      <c r="V776">
        <v>7</v>
      </c>
      <c r="W776" t="s">
        <v>35</v>
      </c>
      <c r="X776" t="s">
        <v>43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</row>
    <row r="777" spans="1:36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f>FLOOR(Table1_2[[#This Row],[MonthlyIncome]],1000)</f>
        <v>10000</v>
      </c>
      <c r="T777">
        <v>10798</v>
      </c>
      <c r="U777">
        <v>5268</v>
      </c>
      <c r="V777">
        <v>5</v>
      </c>
      <c r="W777" t="s">
        <v>35</v>
      </c>
      <c r="X777" t="s">
        <v>43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</row>
    <row r="778" spans="1:36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f>FLOOR(Table1_2[[#This Row],[MonthlyIncome]],1000)</f>
        <v>2000</v>
      </c>
      <c r="T778">
        <v>2323</v>
      </c>
      <c r="U778">
        <v>17205</v>
      </c>
      <c r="V778">
        <v>1</v>
      </c>
      <c r="W778" t="s">
        <v>35</v>
      </c>
      <c r="X778" t="s">
        <v>35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</row>
    <row r="779" spans="1:36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f>FLOOR(Table1_2[[#This Row],[MonthlyIncome]],1000)</f>
        <v>1000</v>
      </c>
      <c r="T779">
        <v>1416</v>
      </c>
      <c r="U779">
        <v>17258</v>
      </c>
      <c r="V779">
        <v>1</v>
      </c>
      <c r="W779" t="s">
        <v>35</v>
      </c>
      <c r="X779" t="s">
        <v>43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</row>
    <row r="780" spans="1:36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f>FLOOR(Table1_2[[#This Row],[MonthlyIncome]],1000)</f>
        <v>4000</v>
      </c>
      <c r="T780">
        <v>4615</v>
      </c>
      <c r="U780">
        <v>21029</v>
      </c>
      <c r="V780">
        <v>8</v>
      </c>
      <c r="W780" t="s">
        <v>35</v>
      </c>
      <c r="X780" t="s">
        <v>35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</row>
    <row r="781" spans="1:36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f>FLOOR(Table1_2[[#This Row],[MonthlyIncome]],1000)</f>
        <v>2000</v>
      </c>
      <c r="T781">
        <v>2461</v>
      </c>
      <c r="U781">
        <v>10332</v>
      </c>
      <c r="V781">
        <v>9</v>
      </c>
      <c r="W781" t="s">
        <v>35</v>
      </c>
      <c r="X781" t="s">
        <v>35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</row>
    <row r="782" spans="1:36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f>FLOOR(Table1_2[[#This Row],[MonthlyIncome]],1000)</f>
        <v>8000</v>
      </c>
      <c r="T782">
        <v>8722</v>
      </c>
      <c r="U782">
        <v>12355</v>
      </c>
      <c r="V782">
        <v>1</v>
      </c>
      <c r="W782" t="s">
        <v>35</v>
      </c>
      <c r="X782" t="s">
        <v>43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</row>
    <row r="783" spans="1:36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f>FLOOR(Table1_2[[#This Row],[MonthlyIncome]],1000)</f>
        <v>3000</v>
      </c>
      <c r="T783">
        <v>3955</v>
      </c>
      <c r="U783">
        <v>11141</v>
      </c>
      <c r="V783">
        <v>1</v>
      </c>
      <c r="W783" t="s">
        <v>35</v>
      </c>
      <c r="X783" t="s">
        <v>43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</row>
    <row r="784" spans="1:36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f>FLOOR(Table1_2[[#This Row],[MonthlyIncome]],1000)</f>
        <v>9000</v>
      </c>
      <c r="T784">
        <v>9957</v>
      </c>
      <c r="U784">
        <v>9096</v>
      </c>
      <c r="V784">
        <v>0</v>
      </c>
      <c r="W784" t="s">
        <v>35</v>
      </c>
      <c r="X784" t="s">
        <v>43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</row>
    <row r="785" spans="1:36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f>FLOOR(Table1_2[[#This Row],[MonthlyIncome]],1000)</f>
        <v>3000</v>
      </c>
      <c r="T785">
        <v>3376</v>
      </c>
      <c r="U785">
        <v>18863</v>
      </c>
      <c r="V785">
        <v>1</v>
      </c>
      <c r="W785" t="s">
        <v>35</v>
      </c>
      <c r="X785" t="s">
        <v>43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</row>
    <row r="786" spans="1:36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f>FLOOR(Table1_2[[#This Row],[MonthlyIncome]],1000)</f>
        <v>8000</v>
      </c>
      <c r="T786">
        <v>8823</v>
      </c>
      <c r="U786">
        <v>24608</v>
      </c>
      <c r="V786">
        <v>0</v>
      </c>
      <c r="W786" t="s">
        <v>35</v>
      </c>
      <c r="X786" t="s">
        <v>43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</row>
    <row r="787" spans="1:36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f>FLOOR(Table1_2[[#This Row],[MonthlyIncome]],1000)</f>
        <v>10000</v>
      </c>
      <c r="T787">
        <v>10322</v>
      </c>
      <c r="U787">
        <v>26542</v>
      </c>
      <c r="V787">
        <v>4</v>
      </c>
      <c r="W787" t="s">
        <v>35</v>
      </c>
      <c r="X787" t="s">
        <v>43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</row>
    <row r="788" spans="1:36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f>FLOOR(Table1_2[[#This Row],[MonthlyIncome]],1000)</f>
        <v>4000</v>
      </c>
      <c r="T788">
        <v>4621</v>
      </c>
      <c r="U788">
        <v>5869</v>
      </c>
      <c r="V788">
        <v>1</v>
      </c>
      <c r="W788" t="s">
        <v>35</v>
      </c>
      <c r="X788" t="s">
        <v>43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</row>
    <row r="789" spans="1:36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f>FLOOR(Table1_2[[#This Row],[MonthlyIncome]],1000)</f>
        <v>10000</v>
      </c>
      <c r="T789">
        <v>10976</v>
      </c>
      <c r="U789">
        <v>15813</v>
      </c>
      <c r="V789">
        <v>3</v>
      </c>
      <c r="W789" t="s">
        <v>35</v>
      </c>
      <c r="X789" t="s">
        <v>43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</row>
    <row r="790" spans="1:36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f>FLOOR(Table1_2[[#This Row],[MonthlyIncome]],1000)</f>
        <v>3000</v>
      </c>
      <c r="T790">
        <v>3660</v>
      </c>
      <c r="U790">
        <v>7909</v>
      </c>
      <c r="V790">
        <v>3</v>
      </c>
      <c r="W790" t="s">
        <v>35</v>
      </c>
      <c r="X790" t="s">
        <v>43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</row>
    <row r="791" spans="1:36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f>FLOOR(Table1_2[[#This Row],[MonthlyIncome]],1000)</f>
        <v>10000</v>
      </c>
      <c r="T791">
        <v>10482</v>
      </c>
      <c r="U791">
        <v>2326</v>
      </c>
      <c r="V791">
        <v>9</v>
      </c>
      <c r="W791" t="s">
        <v>35</v>
      </c>
      <c r="X791" t="s">
        <v>43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</row>
    <row r="792" spans="1:36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f>FLOOR(Table1_2[[#This Row],[MonthlyIncome]],1000)</f>
        <v>7000</v>
      </c>
      <c r="T792">
        <v>7119</v>
      </c>
      <c r="U792">
        <v>21214</v>
      </c>
      <c r="V792">
        <v>4</v>
      </c>
      <c r="W792" t="s">
        <v>35</v>
      </c>
      <c r="X792" t="s">
        <v>43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</row>
    <row r="793" spans="1:36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f>FLOOR(Table1_2[[#This Row],[MonthlyIncome]],1000)</f>
        <v>9000</v>
      </c>
      <c r="T793">
        <v>9582</v>
      </c>
      <c r="U793">
        <v>10333</v>
      </c>
      <c r="V793">
        <v>0</v>
      </c>
      <c r="W793" t="s">
        <v>35</v>
      </c>
      <c r="X793" t="s">
        <v>35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</row>
    <row r="794" spans="1:36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f>FLOOR(Table1_2[[#This Row],[MonthlyIncome]],1000)</f>
        <v>4000</v>
      </c>
      <c r="T794">
        <v>4508</v>
      </c>
      <c r="U794">
        <v>3129</v>
      </c>
      <c r="V794">
        <v>1</v>
      </c>
      <c r="W794" t="s">
        <v>35</v>
      </c>
      <c r="X794" t="s">
        <v>43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</row>
    <row r="795" spans="1:36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f>FLOOR(Table1_2[[#This Row],[MonthlyIncome]],1000)</f>
        <v>2000</v>
      </c>
      <c r="T795">
        <v>2207</v>
      </c>
      <c r="U795">
        <v>22482</v>
      </c>
      <c r="V795">
        <v>1</v>
      </c>
      <c r="W795" t="s">
        <v>35</v>
      </c>
      <c r="X795" t="s">
        <v>43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</row>
    <row r="796" spans="1:36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f>FLOOR(Table1_2[[#This Row],[MonthlyIncome]],1000)</f>
        <v>7000</v>
      </c>
      <c r="T796">
        <v>7756</v>
      </c>
      <c r="U796">
        <v>22266</v>
      </c>
      <c r="V796">
        <v>0</v>
      </c>
      <c r="W796" t="s">
        <v>35</v>
      </c>
      <c r="X796" t="s">
        <v>43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</row>
    <row r="797" spans="1:36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f>FLOOR(Table1_2[[#This Row],[MonthlyIncome]],1000)</f>
        <v>6000</v>
      </c>
      <c r="T797">
        <v>6694</v>
      </c>
      <c r="U797">
        <v>24223</v>
      </c>
      <c r="V797">
        <v>2</v>
      </c>
      <c r="W797" t="s">
        <v>35</v>
      </c>
      <c r="X797" t="s">
        <v>35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</row>
    <row r="798" spans="1:36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f>FLOOR(Table1_2[[#This Row],[MonthlyIncome]],1000)</f>
        <v>3000</v>
      </c>
      <c r="T798">
        <v>3691</v>
      </c>
      <c r="U798">
        <v>4605</v>
      </c>
      <c r="V798">
        <v>1</v>
      </c>
      <c r="W798" t="s">
        <v>35</v>
      </c>
      <c r="X798" t="s">
        <v>35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</row>
    <row r="799" spans="1:36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f>FLOOR(Table1_2[[#This Row],[MonthlyIncome]],1000)</f>
        <v>2000</v>
      </c>
      <c r="T799">
        <v>2377</v>
      </c>
      <c r="U799">
        <v>19373</v>
      </c>
      <c r="V799">
        <v>1</v>
      </c>
      <c r="W799" t="s">
        <v>35</v>
      </c>
      <c r="X799" t="s">
        <v>43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</row>
    <row r="800" spans="1:36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f>FLOOR(Table1_2[[#This Row],[MonthlyIncome]],1000)</f>
        <v>2000</v>
      </c>
      <c r="T800">
        <v>2313</v>
      </c>
      <c r="U800">
        <v>2993</v>
      </c>
      <c r="V800">
        <v>4</v>
      </c>
      <c r="W800" t="s">
        <v>35</v>
      </c>
      <c r="X800" t="s">
        <v>35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</row>
    <row r="801" spans="1:36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f>FLOOR(Table1_2[[#This Row],[MonthlyIncome]],1000)</f>
        <v>17000</v>
      </c>
      <c r="T801">
        <v>17665</v>
      </c>
      <c r="U801">
        <v>14399</v>
      </c>
      <c r="V801">
        <v>0</v>
      </c>
      <c r="W801" t="s">
        <v>35</v>
      </c>
      <c r="X801" t="s">
        <v>43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</row>
    <row r="802" spans="1:36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f>FLOOR(Table1_2[[#This Row],[MonthlyIncome]],1000)</f>
        <v>2000</v>
      </c>
      <c r="T802">
        <v>2596</v>
      </c>
      <c r="U802">
        <v>7160</v>
      </c>
      <c r="V802">
        <v>1</v>
      </c>
      <c r="W802" t="s">
        <v>35</v>
      </c>
      <c r="X802" t="s">
        <v>43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</row>
    <row r="803" spans="1:36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f>FLOOR(Table1_2[[#This Row],[MonthlyIncome]],1000)</f>
        <v>4000</v>
      </c>
      <c r="T803">
        <v>4728</v>
      </c>
      <c r="U803">
        <v>17251</v>
      </c>
      <c r="V803">
        <v>3</v>
      </c>
      <c r="W803" t="s">
        <v>35</v>
      </c>
      <c r="X803" t="s">
        <v>35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</row>
    <row r="804" spans="1:36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f>FLOOR(Table1_2[[#This Row],[MonthlyIncome]],1000)</f>
        <v>4000</v>
      </c>
      <c r="T804">
        <v>4302</v>
      </c>
      <c r="U804">
        <v>13401</v>
      </c>
      <c r="V804">
        <v>0</v>
      </c>
      <c r="W804" t="s">
        <v>35</v>
      </c>
      <c r="X804" t="s">
        <v>43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</row>
    <row r="805" spans="1:36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f>FLOOR(Table1_2[[#This Row],[MonthlyIncome]],1000)</f>
        <v>2000</v>
      </c>
      <c r="T805">
        <v>2979</v>
      </c>
      <c r="U805">
        <v>22478</v>
      </c>
      <c r="V805">
        <v>3</v>
      </c>
      <c r="W805" t="s">
        <v>35</v>
      </c>
      <c r="X805" t="s">
        <v>43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1:36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f>FLOOR(Table1_2[[#This Row],[MonthlyIncome]],1000)</f>
        <v>16000</v>
      </c>
      <c r="T806">
        <v>16885</v>
      </c>
      <c r="U806">
        <v>16154</v>
      </c>
      <c r="V806">
        <v>2</v>
      </c>
      <c r="W806" t="s">
        <v>35</v>
      </c>
      <c r="X806" t="s">
        <v>43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</row>
    <row r="807" spans="1:36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f>FLOOR(Table1_2[[#This Row],[MonthlyIncome]],1000)</f>
        <v>5000</v>
      </c>
      <c r="T807">
        <v>5593</v>
      </c>
      <c r="U807">
        <v>17970</v>
      </c>
      <c r="V807">
        <v>1</v>
      </c>
      <c r="W807" t="s">
        <v>35</v>
      </c>
      <c r="X807" t="s">
        <v>43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</row>
    <row r="808" spans="1:36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f>FLOOR(Table1_2[[#This Row],[MonthlyIncome]],1000)</f>
        <v>10000</v>
      </c>
      <c r="T808">
        <v>10445</v>
      </c>
      <c r="U808">
        <v>15322</v>
      </c>
      <c r="V808">
        <v>7</v>
      </c>
      <c r="W808" t="s">
        <v>35</v>
      </c>
      <c r="X808" t="s">
        <v>43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</row>
    <row r="809" spans="1:36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f>FLOOR(Table1_2[[#This Row],[MonthlyIncome]],1000)</f>
        <v>8000</v>
      </c>
      <c r="T809">
        <v>8740</v>
      </c>
      <c r="U809">
        <v>5569</v>
      </c>
      <c r="V809">
        <v>0</v>
      </c>
      <c r="W809" t="s">
        <v>35</v>
      </c>
      <c r="X809" t="s">
        <v>35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</row>
    <row r="810" spans="1:36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f>FLOOR(Table1_2[[#This Row],[MonthlyIncome]],1000)</f>
        <v>2000</v>
      </c>
      <c r="T810">
        <v>2514</v>
      </c>
      <c r="U810">
        <v>26968</v>
      </c>
      <c r="V810">
        <v>4</v>
      </c>
      <c r="W810" t="s">
        <v>35</v>
      </c>
      <c r="X810" t="s">
        <v>43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</row>
    <row r="811" spans="1:36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f>FLOOR(Table1_2[[#This Row],[MonthlyIncome]],1000)</f>
        <v>7000</v>
      </c>
      <c r="T811">
        <v>7655</v>
      </c>
      <c r="U811">
        <v>8039</v>
      </c>
      <c r="V811">
        <v>0</v>
      </c>
      <c r="W811" t="s">
        <v>35</v>
      </c>
      <c r="X811" t="s">
        <v>43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</row>
    <row r="812" spans="1:36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f>FLOOR(Table1_2[[#This Row],[MonthlyIncome]],1000)</f>
        <v>17000</v>
      </c>
      <c r="T812">
        <v>17465</v>
      </c>
      <c r="U812">
        <v>15596</v>
      </c>
      <c r="V812">
        <v>3</v>
      </c>
      <c r="W812" t="s">
        <v>35</v>
      </c>
      <c r="X812" t="s">
        <v>43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</row>
    <row r="813" spans="1:36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f>FLOOR(Table1_2[[#This Row],[MonthlyIncome]],1000)</f>
        <v>7000</v>
      </c>
      <c r="T813">
        <v>7351</v>
      </c>
      <c r="U813">
        <v>20619</v>
      </c>
      <c r="V813">
        <v>7</v>
      </c>
      <c r="W813" t="s">
        <v>35</v>
      </c>
      <c r="X813" t="s">
        <v>43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</row>
    <row r="814" spans="1:36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f>FLOOR(Table1_2[[#This Row],[MonthlyIncome]],1000)</f>
        <v>10000</v>
      </c>
      <c r="T814">
        <v>10820</v>
      </c>
      <c r="U814">
        <v>11535</v>
      </c>
      <c r="V814">
        <v>8</v>
      </c>
      <c r="W814" t="s">
        <v>35</v>
      </c>
      <c r="X814" t="s">
        <v>43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</row>
    <row r="815" spans="1:36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f>FLOOR(Table1_2[[#This Row],[MonthlyIncome]],1000)</f>
        <v>12000</v>
      </c>
      <c r="T815">
        <v>12169</v>
      </c>
      <c r="U815">
        <v>13547</v>
      </c>
      <c r="V815">
        <v>7</v>
      </c>
      <c r="W815" t="s">
        <v>35</v>
      </c>
      <c r="X815" t="s">
        <v>43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</row>
    <row r="816" spans="1:36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f>FLOOR(Table1_2[[#This Row],[MonthlyIncome]],1000)</f>
        <v>19000</v>
      </c>
      <c r="T816">
        <v>19626</v>
      </c>
      <c r="U816">
        <v>17544</v>
      </c>
      <c r="V816">
        <v>1</v>
      </c>
      <c r="W816" t="s">
        <v>35</v>
      </c>
      <c r="X816" t="s">
        <v>43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</row>
    <row r="817" spans="1:36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f>FLOOR(Table1_2[[#This Row],[MonthlyIncome]],1000)</f>
        <v>2000</v>
      </c>
      <c r="T817">
        <v>2070</v>
      </c>
      <c r="U817">
        <v>25326</v>
      </c>
      <c r="V817">
        <v>1</v>
      </c>
      <c r="W817" t="s">
        <v>35</v>
      </c>
      <c r="X817" t="s">
        <v>35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</row>
    <row r="818" spans="1:36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f>FLOOR(Table1_2[[#This Row],[MonthlyIncome]],1000)</f>
        <v>6000</v>
      </c>
      <c r="T818">
        <v>6782</v>
      </c>
      <c r="U818">
        <v>8770</v>
      </c>
      <c r="V818">
        <v>9</v>
      </c>
      <c r="W818" t="s">
        <v>35</v>
      </c>
      <c r="X818" t="s">
        <v>43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</row>
    <row r="819" spans="1:36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f>FLOOR(Table1_2[[#This Row],[MonthlyIncome]],1000)</f>
        <v>7000</v>
      </c>
      <c r="T819">
        <v>7779</v>
      </c>
      <c r="U819">
        <v>23238</v>
      </c>
      <c r="V819">
        <v>2</v>
      </c>
      <c r="W819" t="s">
        <v>35</v>
      </c>
      <c r="X819" t="s">
        <v>43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</row>
    <row r="820" spans="1:36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f>FLOOR(Table1_2[[#This Row],[MonthlyIncome]],1000)</f>
        <v>2000</v>
      </c>
      <c r="T820">
        <v>2791</v>
      </c>
      <c r="U820">
        <v>21981</v>
      </c>
      <c r="V820">
        <v>0</v>
      </c>
      <c r="W820" t="s">
        <v>35</v>
      </c>
      <c r="X820" t="s">
        <v>43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</row>
    <row r="821" spans="1:36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f>FLOOR(Table1_2[[#This Row],[MonthlyIncome]],1000)</f>
        <v>3000</v>
      </c>
      <c r="T821">
        <v>3201</v>
      </c>
      <c r="U821">
        <v>19911</v>
      </c>
      <c r="V821">
        <v>0</v>
      </c>
      <c r="W821" t="s">
        <v>35</v>
      </c>
      <c r="X821" t="s">
        <v>43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</row>
    <row r="822" spans="1:36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f>FLOOR(Table1_2[[#This Row],[MonthlyIncome]],1000)</f>
        <v>4000</v>
      </c>
      <c r="T822">
        <v>4968</v>
      </c>
      <c r="U822">
        <v>18500</v>
      </c>
      <c r="V822">
        <v>1</v>
      </c>
      <c r="W822" t="s">
        <v>35</v>
      </c>
      <c r="X822" t="s">
        <v>43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</row>
    <row r="823" spans="1:36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f>FLOOR(Table1_2[[#This Row],[MonthlyIncome]],1000)</f>
        <v>13000</v>
      </c>
      <c r="T823">
        <v>13120</v>
      </c>
      <c r="U823">
        <v>11879</v>
      </c>
      <c r="V823">
        <v>6</v>
      </c>
      <c r="W823" t="s">
        <v>35</v>
      </c>
      <c r="X823" t="s">
        <v>43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</row>
    <row r="824" spans="1:36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f>FLOOR(Table1_2[[#This Row],[MonthlyIncome]],1000)</f>
        <v>4000</v>
      </c>
      <c r="T824">
        <v>4033</v>
      </c>
      <c r="U824">
        <v>15834</v>
      </c>
      <c r="V824">
        <v>2</v>
      </c>
      <c r="W824" t="s">
        <v>35</v>
      </c>
      <c r="X824" t="s">
        <v>43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</row>
    <row r="825" spans="1:36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f>FLOOR(Table1_2[[#This Row],[MonthlyIncome]],1000)</f>
        <v>3000</v>
      </c>
      <c r="T825">
        <v>3291</v>
      </c>
      <c r="U825">
        <v>17940</v>
      </c>
      <c r="V825">
        <v>0</v>
      </c>
      <c r="W825" t="s">
        <v>35</v>
      </c>
      <c r="X825" t="s">
        <v>43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</row>
    <row r="826" spans="1:36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f>FLOOR(Table1_2[[#This Row],[MonthlyIncome]],1000)</f>
        <v>4000</v>
      </c>
      <c r="T826">
        <v>4272</v>
      </c>
      <c r="U826">
        <v>9558</v>
      </c>
      <c r="V826">
        <v>4</v>
      </c>
      <c r="W826" t="s">
        <v>35</v>
      </c>
      <c r="X826" t="s">
        <v>43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</row>
    <row r="827" spans="1:36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f>FLOOR(Table1_2[[#This Row],[MonthlyIncome]],1000)</f>
        <v>5000</v>
      </c>
      <c r="T827">
        <v>5056</v>
      </c>
      <c r="U827">
        <v>17689</v>
      </c>
      <c r="V827">
        <v>1</v>
      </c>
      <c r="W827" t="s">
        <v>35</v>
      </c>
      <c r="X827" t="s">
        <v>35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</row>
    <row r="828" spans="1:36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f>FLOOR(Table1_2[[#This Row],[MonthlyIncome]],1000)</f>
        <v>2000</v>
      </c>
      <c r="T828">
        <v>2844</v>
      </c>
      <c r="U828">
        <v>6004</v>
      </c>
      <c r="V828">
        <v>1</v>
      </c>
      <c r="W828" t="s">
        <v>35</v>
      </c>
      <c r="X828" t="s">
        <v>43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</row>
    <row r="829" spans="1:36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f>FLOOR(Table1_2[[#This Row],[MonthlyIncome]],1000)</f>
        <v>2000</v>
      </c>
      <c r="T829">
        <v>2703</v>
      </c>
      <c r="U829">
        <v>22088</v>
      </c>
      <c r="V829">
        <v>1</v>
      </c>
      <c r="W829" t="s">
        <v>35</v>
      </c>
      <c r="X829" t="s">
        <v>35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</row>
    <row r="830" spans="1:36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f>FLOOR(Table1_2[[#This Row],[MonthlyIncome]],1000)</f>
        <v>1000</v>
      </c>
      <c r="T830">
        <v>1904</v>
      </c>
      <c r="U830">
        <v>13556</v>
      </c>
      <c r="V830">
        <v>1</v>
      </c>
      <c r="W830" t="s">
        <v>35</v>
      </c>
      <c r="X830" t="s">
        <v>43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</row>
    <row r="831" spans="1:36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f>FLOOR(Table1_2[[#This Row],[MonthlyIncome]],1000)</f>
        <v>8000</v>
      </c>
      <c r="T831">
        <v>8224</v>
      </c>
      <c r="U831">
        <v>18385</v>
      </c>
      <c r="V831">
        <v>0</v>
      </c>
      <c r="W831" t="s">
        <v>35</v>
      </c>
      <c r="X831" t="s">
        <v>35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</row>
    <row r="832" spans="1:36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f>FLOOR(Table1_2[[#This Row],[MonthlyIncome]],1000)</f>
        <v>4000</v>
      </c>
      <c r="T832">
        <v>4766</v>
      </c>
      <c r="U832">
        <v>9051</v>
      </c>
      <c r="V832">
        <v>3</v>
      </c>
      <c r="W832" t="s">
        <v>35</v>
      </c>
      <c r="X832" t="s">
        <v>35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</row>
    <row r="833" spans="1:36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f>FLOOR(Table1_2[[#This Row],[MonthlyIncome]],1000)</f>
        <v>2000</v>
      </c>
      <c r="T833">
        <v>2610</v>
      </c>
      <c r="U833">
        <v>6233</v>
      </c>
      <c r="V833">
        <v>1</v>
      </c>
      <c r="W833" t="s">
        <v>35</v>
      </c>
      <c r="X833" t="s">
        <v>43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</row>
    <row r="834" spans="1:36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f>FLOOR(Table1_2[[#This Row],[MonthlyIncome]],1000)</f>
        <v>5000</v>
      </c>
      <c r="T834">
        <v>5731</v>
      </c>
      <c r="U834">
        <v>17171</v>
      </c>
      <c r="V834">
        <v>7</v>
      </c>
      <c r="W834" t="s">
        <v>35</v>
      </c>
      <c r="X834" t="s">
        <v>43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</row>
    <row r="835" spans="1:36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f>FLOOR(Table1_2[[#This Row],[MonthlyIncome]],1000)</f>
        <v>2000</v>
      </c>
      <c r="T835">
        <v>2539</v>
      </c>
      <c r="U835">
        <v>7950</v>
      </c>
      <c r="V835">
        <v>1</v>
      </c>
      <c r="W835" t="s">
        <v>35</v>
      </c>
      <c r="X835" t="s">
        <v>43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</row>
    <row r="836" spans="1:36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f>FLOOR(Table1_2[[#This Row],[MonthlyIncome]],1000)</f>
        <v>5000</v>
      </c>
      <c r="T836">
        <v>5714</v>
      </c>
      <c r="U836">
        <v>5829</v>
      </c>
      <c r="V836">
        <v>1</v>
      </c>
      <c r="W836" t="s">
        <v>35</v>
      </c>
      <c r="X836" t="s">
        <v>43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</row>
    <row r="837" spans="1:36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f>FLOOR(Table1_2[[#This Row],[MonthlyIncome]],1000)</f>
        <v>4000</v>
      </c>
      <c r="T837">
        <v>4323</v>
      </c>
      <c r="U837">
        <v>7108</v>
      </c>
      <c r="V837">
        <v>1</v>
      </c>
      <c r="W837" t="s">
        <v>35</v>
      </c>
      <c r="X837" t="s">
        <v>43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</row>
    <row r="838" spans="1:36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f>FLOOR(Table1_2[[#This Row],[MonthlyIncome]],1000)</f>
        <v>7000</v>
      </c>
      <c r="T838">
        <v>7336</v>
      </c>
      <c r="U838">
        <v>11162</v>
      </c>
      <c r="V838">
        <v>1</v>
      </c>
      <c r="W838" t="s">
        <v>35</v>
      </c>
      <c r="X838" t="s">
        <v>43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</row>
    <row r="839" spans="1:36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f>FLOOR(Table1_2[[#This Row],[MonthlyIncome]],1000)</f>
        <v>13000</v>
      </c>
      <c r="T839">
        <v>13499</v>
      </c>
      <c r="U839">
        <v>13782</v>
      </c>
      <c r="V839">
        <v>9</v>
      </c>
      <c r="W839" t="s">
        <v>35</v>
      </c>
      <c r="X839" t="s">
        <v>43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</row>
    <row r="840" spans="1:36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f>FLOOR(Table1_2[[#This Row],[MonthlyIncome]],1000)</f>
        <v>13000</v>
      </c>
      <c r="T840">
        <v>13758</v>
      </c>
      <c r="U840">
        <v>2447</v>
      </c>
      <c r="V840">
        <v>0</v>
      </c>
      <c r="W840" t="s">
        <v>35</v>
      </c>
      <c r="X840" t="s">
        <v>35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</row>
    <row r="841" spans="1:36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f>FLOOR(Table1_2[[#This Row],[MonthlyIncome]],1000)</f>
        <v>5000</v>
      </c>
      <c r="T841">
        <v>5155</v>
      </c>
      <c r="U841">
        <v>2253</v>
      </c>
      <c r="V841">
        <v>7</v>
      </c>
      <c r="W841" t="s">
        <v>35</v>
      </c>
      <c r="X841" t="s">
        <v>43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</row>
    <row r="842" spans="1:36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f>FLOOR(Table1_2[[#This Row],[MonthlyIncome]],1000)</f>
        <v>2000</v>
      </c>
      <c r="T842">
        <v>2258</v>
      </c>
      <c r="U842">
        <v>16340</v>
      </c>
      <c r="V842">
        <v>6</v>
      </c>
      <c r="W842" t="s">
        <v>35</v>
      </c>
      <c r="X842" t="s">
        <v>43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</row>
    <row r="843" spans="1:36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f>FLOOR(Table1_2[[#This Row],[MonthlyIncome]],1000)</f>
        <v>3000</v>
      </c>
      <c r="T843">
        <v>3597</v>
      </c>
      <c r="U843">
        <v>6409</v>
      </c>
      <c r="V843">
        <v>8</v>
      </c>
      <c r="W843" t="s">
        <v>35</v>
      </c>
      <c r="X843" t="s">
        <v>43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</row>
    <row r="844" spans="1:36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f>FLOOR(Table1_2[[#This Row],[MonthlyIncome]],1000)</f>
        <v>2000</v>
      </c>
      <c r="T844">
        <v>2515</v>
      </c>
      <c r="U844">
        <v>22955</v>
      </c>
      <c r="V844">
        <v>1</v>
      </c>
      <c r="W844" t="s">
        <v>35</v>
      </c>
      <c r="X844" t="s">
        <v>35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</row>
    <row r="845" spans="1:36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f>FLOOR(Table1_2[[#This Row],[MonthlyIncome]],1000)</f>
        <v>4000</v>
      </c>
      <c r="T845">
        <v>4420</v>
      </c>
      <c r="U845">
        <v>13421</v>
      </c>
      <c r="V845">
        <v>1</v>
      </c>
      <c r="W845" t="s">
        <v>35</v>
      </c>
      <c r="X845" t="s">
        <v>43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</row>
    <row r="846" spans="1:36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f>FLOOR(Table1_2[[#This Row],[MonthlyIncome]],1000)</f>
        <v>6000</v>
      </c>
      <c r="T846">
        <v>6578</v>
      </c>
      <c r="U846">
        <v>2706</v>
      </c>
      <c r="V846">
        <v>1</v>
      </c>
      <c r="W846" t="s">
        <v>35</v>
      </c>
      <c r="X846" t="s">
        <v>43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</row>
    <row r="847" spans="1:36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f>FLOOR(Table1_2[[#This Row],[MonthlyIncome]],1000)</f>
        <v>4000</v>
      </c>
      <c r="T847">
        <v>4422</v>
      </c>
      <c r="U847">
        <v>21203</v>
      </c>
      <c r="V847">
        <v>3</v>
      </c>
      <c r="W847" t="s">
        <v>35</v>
      </c>
      <c r="X847" t="s">
        <v>35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</row>
    <row r="848" spans="1:36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f>FLOOR(Table1_2[[#This Row],[MonthlyIncome]],1000)</f>
        <v>10000</v>
      </c>
      <c r="T848">
        <v>10274</v>
      </c>
      <c r="U848">
        <v>19588</v>
      </c>
      <c r="V848">
        <v>2</v>
      </c>
      <c r="W848" t="s">
        <v>35</v>
      </c>
      <c r="X848" t="s">
        <v>43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</row>
    <row r="849" spans="1:36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f>FLOOR(Table1_2[[#This Row],[MonthlyIncome]],1000)</f>
        <v>5000</v>
      </c>
      <c r="T849">
        <v>5343</v>
      </c>
      <c r="U849">
        <v>25755</v>
      </c>
      <c r="V849">
        <v>0</v>
      </c>
      <c r="W849" t="s">
        <v>35</v>
      </c>
      <c r="X849" t="s">
        <v>43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</row>
    <row r="850" spans="1:36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f>FLOOR(Table1_2[[#This Row],[MonthlyIncome]],1000)</f>
        <v>2000</v>
      </c>
      <c r="T850">
        <v>2376</v>
      </c>
      <c r="U850">
        <v>26537</v>
      </c>
      <c r="V850">
        <v>1</v>
      </c>
      <c r="W850" t="s">
        <v>35</v>
      </c>
      <c r="X850" t="s">
        <v>43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</row>
    <row r="851" spans="1:36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f>FLOOR(Table1_2[[#This Row],[MonthlyIncome]],1000)</f>
        <v>5000</v>
      </c>
      <c r="T851">
        <v>5346</v>
      </c>
      <c r="U851">
        <v>9489</v>
      </c>
      <c r="V851">
        <v>8</v>
      </c>
      <c r="W851" t="s">
        <v>35</v>
      </c>
      <c r="X851" t="s">
        <v>43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</row>
    <row r="852" spans="1:36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f>FLOOR(Table1_2[[#This Row],[MonthlyIncome]],1000)</f>
        <v>2000</v>
      </c>
      <c r="T852">
        <v>2827</v>
      </c>
      <c r="U852">
        <v>14947</v>
      </c>
      <c r="V852">
        <v>1</v>
      </c>
      <c r="W852" t="s">
        <v>35</v>
      </c>
      <c r="X852" t="s">
        <v>43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</row>
    <row r="853" spans="1:36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f>FLOOR(Table1_2[[#This Row],[MonthlyIncome]],1000)</f>
        <v>19000</v>
      </c>
      <c r="T853">
        <v>19943</v>
      </c>
      <c r="U853">
        <v>18575</v>
      </c>
      <c r="V853">
        <v>4</v>
      </c>
      <c r="W853" t="s">
        <v>35</v>
      </c>
      <c r="X853" t="s">
        <v>43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</row>
    <row r="854" spans="1:36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f>FLOOR(Table1_2[[#This Row],[MonthlyIncome]],1000)</f>
        <v>3000</v>
      </c>
      <c r="T854">
        <v>3131</v>
      </c>
      <c r="U854">
        <v>26342</v>
      </c>
      <c r="V854">
        <v>1</v>
      </c>
      <c r="W854" t="s">
        <v>35</v>
      </c>
      <c r="X854" t="s">
        <v>43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</row>
    <row r="855" spans="1:36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f>FLOOR(Table1_2[[#This Row],[MonthlyIncome]],1000)</f>
        <v>2000</v>
      </c>
      <c r="T855">
        <v>2552</v>
      </c>
      <c r="U855">
        <v>7172</v>
      </c>
      <c r="V855">
        <v>1</v>
      </c>
      <c r="W855" t="s">
        <v>35</v>
      </c>
      <c r="X855" t="s">
        <v>43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</row>
    <row r="856" spans="1:36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f>FLOOR(Table1_2[[#This Row],[MonthlyIncome]],1000)</f>
        <v>4000</v>
      </c>
      <c r="T856">
        <v>4477</v>
      </c>
      <c r="U856">
        <v>20100</v>
      </c>
      <c r="V856">
        <v>4</v>
      </c>
      <c r="W856" t="s">
        <v>35</v>
      </c>
      <c r="X856" t="s">
        <v>35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</row>
    <row r="857" spans="1:36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f>FLOOR(Table1_2[[#This Row],[MonthlyIncome]],1000)</f>
        <v>6000</v>
      </c>
      <c r="T857">
        <v>6474</v>
      </c>
      <c r="U857">
        <v>9961</v>
      </c>
      <c r="V857">
        <v>1</v>
      </c>
      <c r="W857" t="s">
        <v>35</v>
      </c>
      <c r="X857" t="s">
        <v>43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</row>
    <row r="858" spans="1:36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f>FLOOR(Table1_2[[#This Row],[MonthlyIncome]],1000)</f>
        <v>3000</v>
      </c>
      <c r="T858">
        <v>3033</v>
      </c>
      <c r="U858">
        <v>12828</v>
      </c>
      <c r="V858">
        <v>1</v>
      </c>
      <c r="W858" t="s">
        <v>35</v>
      </c>
      <c r="X858" t="s">
        <v>43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</row>
    <row r="859" spans="1:36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f>FLOOR(Table1_2[[#This Row],[MonthlyIncome]],1000)</f>
        <v>2000</v>
      </c>
      <c r="T859">
        <v>2936</v>
      </c>
      <c r="U859">
        <v>10826</v>
      </c>
      <c r="V859">
        <v>1</v>
      </c>
      <c r="W859" t="s">
        <v>35</v>
      </c>
      <c r="X859" t="s">
        <v>35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</row>
    <row r="860" spans="1:36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f>FLOOR(Table1_2[[#This Row],[MonthlyIncome]],1000)</f>
        <v>18000</v>
      </c>
      <c r="T860">
        <v>18606</v>
      </c>
      <c r="U860">
        <v>18640</v>
      </c>
      <c r="V860">
        <v>3</v>
      </c>
      <c r="W860" t="s">
        <v>35</v>
      </c>
      <c r="X860" t="s">
        <v>43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</row>
    <row r="861" spans="1:36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f>FLOOR(Table1_2[[#This Row],[MonthlyIncome]],1000)</f>
        <v>2000</v>
      </c>
      <c r="T861">
        <v>2168</v>
      </c>
      <c r="U861">
        <v>26933</v>
      </c>
      <c r="V861">
        <v>0</v>
      </c>
      <c r="W861" t="s">
        <v>35</v>
      </c>
      <c r="X861" t="s">
        <v>35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</row>
    <row r="862" spans="1:36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f>FLOOR(Table1_2[[#This Row],[MonthlyIncome]],1000)</f>
        <v>2000</v>
      </c>
      <c r="T862">
        <v>2853</v>
      </c>
      <c r="U862">
        <v>4223</v>
      </c>
      <c r="V862">
        <v>0</v>
      </c>
      <c r="W862" t="s">
        <v>35</v>
      </c>
      <c r="X862" t="s">
        <v>35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</row>
    <row r="863" spans="1:36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f>FLOOR(Table1_2[[#This Row],[MonthlyIncome]],1000)</f>
        <v>17000</v>
      </c>
      <c r="T863">
        <v>17048</v>
      </c>
      <c r="U863">
        <v>24097</v>
      </c>
      <c r="V863">
        <v>8</v>
      </c>
      <c r="W863" t="s">
        <v>35</v>
      </c>
      <c r="X863" t="s">
        <v>43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</row>
    <row r="864" spans="1:36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f>FLOOR(Table1_2[[#This Row],[MonthlyIncome]],1000)</f>
        <v>2000</v>
      </c>
      <c r="T864">
        <v>2290</v>
      </c>
      <c r="U864">
        <v>4279</v>
      </c>
      <c r="V864">
        <v>2</v>
      </c>
      <c r="W864" t="s">
        <v>35</v>
      </c>
      <c r="X864" t="s">
        <v>43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1:36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f>FLOOR(Table1_2[[#This Row],[MonthlyIncome]],1000)</f>
        <v>3000</v>
      </c>
      <c r="T865">
        <v>3600</v>
      </c>
      <c r="U865">
        <v>8429</v>
      </c>
      <c r="V865">
        <v>1</v>
      </c>
      <c r="W865" t="s">
        <v>35</v>
      </c>
      <c r="X865" t="s">
        <v>43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</row>
    <row r="866" spans="1:36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f>FLOOR(Table1_2[[#This Row],[MonthlyIncome]],1000)</f>
        <v>2000</v>
      </c>
      <c r="T866">
        <v>2107</v>
      </c>
      <c r="U866">
        <v>20293</v>
      </c>
      <c r="V866">
        <v>6</v>
      </c>
      <c r="W866" t="s">
        <v>35</v>
      </c>
      <c r="X866" t="s">
        <v>43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</row>
    <row r="867" spans="1:36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f>FLOOR(Table1_2[[#This Row],[MonthlyIncome]],1000)</f>
        <v>4000</v>
      </c>
      <c r="T867">
        <v>4115</v>
      </c>
      <c r="U867">
        <v>13192</v>
      </c>
      <c r="V867">
        <v>8</v>
      </c>
      <c r="W867" t="s">
        <v>35</v>
      </c>
      <c r="X867" t="s">
        <v>43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</row>
    <row r="868" spans="1:36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f>FLOOR(Table1_2[[#This Row],[MonthlyIncome]],1000)</f>
        <v>4000</v>
      </c>
      <c r="T868">
        <v>4327</v>
      </c>
      <c r="U868">
        <v>25440</v>
      </c>
      <c r="V868">
        <v>5</v>
      </c>
      <c r="W868" t="s">
        <v>35</v>
      </c>
      <c r="X868" t="s">
        <v>43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</row>
    <row r="869" spans="1:36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f>FLOOR(Table1_2[[#This Row],[MonthlyIncome]],1000)</f>
        <v>17000</v>
      </c>
      <c r="T869">
        <v>17856</v>
      </c>
      <c r="U869">
        <v>9490</v>
      </c>
      <c r="V869">
        <v>2</v>
      </c>
      <c r="W869" t="s">
        <v>35</v>
      </c>
      <c r="X869" t="s">
        <v>43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</row>
    <row r="870" spans="1:36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f>FLOOR(Table1_2[[#This Row],[MonthlyIncome]],1000)</f>
        <v>3000</v>
      </c>
      <c r="T870">
        <v>3196</v>
      </c>
      <c r="U870">
        <v>12449</v>
      </c>
      <c r="V870">
        <v>1</v>
      </c>
      <c r="W870" t="s">
        <v>35</v>
      </c>
      <c r="X870" t="s">
        <v>43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</row>
    <row r="871" spans="1:36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f>FLOOR(Table1_2[[#This Row],[MonthlyIncome]],1000)</f>
        <v>19000</v>
      </c>
      <c r="T871">
        <v>19081</v>
      </c>
      <c r="U871">
        <v>10849</v>
      </c>
      <c r="V871">
        <v>5</v>
      </c>
      <c r="W871" t="s">
        <v>35</v>
      </c>
      <c r="X871" t="s">
        <v>43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</row>
    <row r="872" spans="1:36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f>FLOOR(Table1_2[[#This Row],[MonthlyIncome]],1000)</f>
        <v>8000</v>
      </c>
      <c r="T872">
        <v>8966</v>
      </c>
      <c r="U872">
        <v>21026</v>
      </c>
      <c r="V872">
        <v>3</v>
      </c>
      <c r="W872" t="s">
        <v>35</v>
      </c>
      <c r="X872" t="s">
        <v>35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</row>
    <row r="873" spans="1:36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f>FLOOR(Table1_2[[#This Row],[MonthlyIncome]],1000)</f>
        <v>2000</v>
      </c>
      <c r="T873">
        <v>2210</v>
      </c>
      <c r="U873">
        <v>3372</v>
      </c>
      <c r="V873">
        <v>1</v>
      </c>
      <c r="W873" t="s">
        <v>35</v>
      </c>
      <c r="X873" t="s">
        <v>43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</row>
    <row r="874" spans="1:36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f>FLOOR(Table1_2[[#This Row],[MonthlyIncome]],1000)</f>
        <v>4000</v>
      </c>
      <c r="T874">
        <v>4539</v>
      </c>
      <c r="U874">
        <v>4905</v>
      </c>
      <c r="V874">
        <v>1</v>
      </c>
      <c r="W874" t="s">
        <v>35</v>
      </c>
      <c r="X874" t="s">
        <v>43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</row>
    <row r="875" spans="1:36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f>FLOOR(Table1_2[[#This Row],[MonthlyIncome]],1000)</f>
        <v>2000</v>
      </c>
      <c r="T875">
        <v>2741</v>
      </c>
      <c r="U875">
        <v>6865</v>
      </c>
      <c r="V875">
        <v>1</v>
      </c>
      <c r="W875" t="s">
        <v>35</v>
      </c>
      <c r="X875" t="s">
        <v>43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</row>
    <row r="876" spans="1:36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f>FLOOR(Table1_2[[#This Row],[MonthlyIncome]],1000)</f>
        <v>3000</v>
      </c>
      <c r="T876">
        <v>3491</v>
      </c>
      <c r="U876">
        <v>11309</v>
      </c>
      <c r="V876">
        <v>1</v>
      </c>
      <c r="W876" t="s">
        <v>35</v>
      </c>
      <c r="X876" t="s">
        <v>43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</row>
    <row r="877" spans="1:36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f>FLOOR(Table1_2[[#This Row],[MonthlyIncome]],1000)</f>
        <v>4000</v>
      </c>
      <c r="T877">
        <v>4541</v>
      </c>
      <c r="U877">
        <v>7744</v>
      </c>
      <c r="V877">
        <v>1</v>
      </c>
      <c r="W877" t="s">
        <v>35</v>
      </c>
      <c r="X877" t="s">
        <v>43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</row>
    <row r="878" spans="1:36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f>FLOOR(Table1_2[[#This Row],[MonthlyIncome]],1000)</f>
        <v>2000</v>
      </c>
      <c r="T878">
        <v>2678</v>
      </c>
      <c r="U878">
        <v>5050</v>
      </c>
      <c r="V878">
        <v>1</v>
      </c>
      <c r="W878" t="s">
        <v>35</v>
      </c>
      <c r="X878" t="s">
        <v>43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</row>
    <row r="879" spans="1:36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f>FLOOR(Table1_2[[#This Row],[MonthlyIncome]],1000)</f>
        <v>7000</v>
      </c>
      <c r="T879">
        <v>7379</v>
      </c>
      <c r="U879">
        <v>17433</v>
      </c>
      <c r="V879">
        <v>2</v>
      </c>
      <c r="W879" t="s">
        <v>35</v>
      </c>
      <c r="X879" t="s">
        <v>43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</row>
    <row r="880" spans="1:36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f>FLOOR(Table1_2[[#This Row],[MonthlyIncome]],1000)</f>
        <v>6000</v>
      </c>
      <c r="T880">
        <v>6272</v>
      </c>
      <c r="U880">
        <v>12858</v>
      </c>
      <c r="V880">
        <v>7</v>
      </c>
      <c r="W880" t="s">
        <v>35</v>
      </c>
      <c r="X880" t="s">
        <v>43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</row>
    <row r="881" spans="1:36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f>FLOOR(Table1_2[[#This Row],[MonthlyIncome]],1000)</f>
        <v>5000</v>
      </c>
      <c r="T881">
        <v>5220</v>
      </c>
      <c r="U881">
        <v>10893</v>
      </c>
      <c r="V881">
        <v>0</v>
      </c>
      <c r="W881" t="s">
        <v>35</v>
      </c>
      <c r="X881" t="s">
        <v>35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</row>
    <row r="882" spans="1:36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f>FLOOR(Table1_2[[#This Row],[MonthlyIncome]],1000)</f>
        <v>2000</v>
      </c>
      <c r="T882">
        <v>2743</v>
      </c>
      <c r="U882">
        <v>7331</v>
      </c>
      <c r="V882">
        <v>1</v>
      </c>
      <c r="W882" t="s">
        <v>35</v>
      </c>
      <c r="X882" t="s">
        <v>43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</row>
    <row r="883" spans="1:36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f>FLOOR(Table1_2[[#This Row],[MonthlyIncome]],1000)</f>
        <v>4000</v>
      </c>
      <c r="T883">
        <v>4998</v>
      </c>
      <c r="U883">
        <v>2338</v>
      </c>
      <c r="V883">
        <v>4</v>
      </c>
      <c r="W883" t="s">
        <v>35</v>
      </c>
      <c r="X883" t="s">
        <v>35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</row>
    <row r="884" spans="1:36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f>FLOOR(Table1_2[[#This Row],[MonthlyIncome]],1000)</f>
        <v>10000</v>
      </c>
      <c r="T884">
        <v>10252</v>
      </c>
      <c r="U884">
        <v>4235</v>
      </c>
      <c r="V884">
        <v>2</v>
      </c>
      <c r="W884" t="s">
        <v>35</v>
      </c>
      <c r="X884" t="s">
        <v>35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</row>
    <row r="885" spans="1:36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f>FLOOR(Table1_2[[#This Row],[MonthlyIncome]],1000)</f>
        <v>2000</v>
      </c>
      <c r="T885">
        <v>2781</v>
      </c>
      <c r="U885">
        <v>6311</v>
      </c>
      <c r="V885">
        <v>0</v>
      </c>
      <c r="W885" t="s">
        <v>35</v>
      </c>
      <c r="X885" t="s">
        <v>43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</row>
    <row r="886" spans="1:36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f>FLOOR(Table1_2[[#This Row],[MonthlyIncome]],1000)</f>
        <v>6000</v>
      </c>
      <c r="T886">
        <v>6852</v>
      </c>
      <c r="U886">
        <v>11591</v>
      </c>
      <c r="V886">
        <v>7</v>
      </c>
      <c r="W886" t="s">
        <v>35</v>
      </c>
      <c r="X886" t="s">
        <v>43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</row>
    <row r="887" spans="1:36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f>FLOOR(Table1_2[[#This Row],[MonthlyIncome]],1000)</f>
        <v>4000</v>
      </c>
      <c r="T887">
        <v>4950</v>
      </c>
      <c r="U887">
        <v>20623</v>
      </c>
      <c r="V887">
        <v>0</v>
      </c>
      <c r="W887" t="s">
        <v>35</v>
      </c>
      <c r="X887" t="s">
        <v>43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</row>
    <row r="888" spans="1:36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f>FLOOR(Table1_2[[#This Row],[MonthlyIncome]],1000)</f>
        <v>3000</v>
      </c>
      <c r="T888">
        <v>3579</v>
      </c>
      <c r="U888">
        <v>9369</v>
      </c>
      <c r="V888">
        <v>0</v>
      </c>
      <c r="W888" t="s">
        <v>35</v>
      </c>
      <c r="X888" t="s">
        <v>35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</row>
    <row r="889" spans="1:36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f>FLOOR(Table1_2[[#This Row],[MonthlyIncome]],1000)</f>
        <v>13000</v>
      </c>
      <c r="T889">
        <v>13191</v>
      </c>
      <c r="U889">
        <v>23281</v>
      </c>
      <c r="V889">
        <v>3</v>
      </c>
      <c r="W889" t="s">
        <v>35</v>
      </c>
      <c r="X889" t="s">
        <v>35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</row>
    <row r="890" spans="1:36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f>FLOOR(Table1_2[[#This Row],[MonthlyIncome]],1000)</f>
        <v>10000</v>
      </c>
      <c r="T890">
        <v>10377</v>
      </c>
      <c r="U890">
        <v>13755</v>
      </c>
      <c r="V890">
        <v>4</v>
      </c>
      <c r="W890" t="s">
        <v>35</v>
      </c>
      <c r="X890" t="s">
        <v>35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</row>
    <row r="891" spans="1:36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f>FLOOR(Table1_2[[#This Row],[MonthlyIncome]],1000)</f>
        <v>2000</v>
      </c>
      <c r="T891">
        <v>2235</v>
      </c>
      <c r="U891">
        <v>14377</v>
      </c>
      <c r="V891">
        <v>1</v>
      </c>
      <c r="W891" t="s">
        <v>35</v>
      </c>
      <c r="X891" t="s">
        <v>35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</row>
    <row r="892" spans="1:36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f>FLOOR(Table1_2[[#This Row],[MonthlyIncome]],1000)</f>
        <v>10000</v>
      </c>
      <c r="T892">
        <v>10502</v>
      </c>
      <c r="U892">
        <v>9659</v>
      </c>
      <c r="V892">
        <v>7</v>
      </c>
      <c r="W892" t="s">
        <v>35</v>
      </c>
      <c r="X892" t="s">
        <v>43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</row>
    <row r="893" spans="1:36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f>FLOOR(Table1_2[[#This Row],[MonthlyIncome]],1000)</f>
        <v>2000</v>
      </c>
      <c r="T893">
        <v>2011</v>
      </c>
      <c r="U893">
        <v>19982</v>
      </c>
      <c r="V893">
        <v>1</v>
      </c>
      <c r="W893" t="s">
        <v>35</v>
      </c>
      <c r="X893" t="s">
        <v>43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</row>
    <row r="894" spans="1:36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f>FLOOR(Table1_2[[#This Row],[MonthlyIncome]],1000)</f>
        <v>1000</v>
      </c>
      <c r="T894">
        <v>1859</v>
      </c>
      <c r="U894">
        <v>6148</v>
      </c>
      <c r="V894">
        <v>1</v>
      </c>
      <c r="W894" t="s">
        <v>35</v>
      </c>
      <c r="X894" t="s">
        <v>35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</row>
    <row r="895" spans="1:36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f>FLOOR(Table1_2[[#This Row],[MonthlyIncome]],1000)</f>
        <v>3000</v>
      </c>
      <c r="T895">
        <v>3760</v>
      </c>
      <c r="U895">
        <v>5598</v>
      </c>
      <c r="V895">
        <v>1</v>
      </c>
      <c r="W895" t="s">
        <v>35</v>
      </c>
      <c r="X895" t="s">
        <v>43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</row>
    <row r="896" spans="1:36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f>FLOOR(Table1_2[[#This Row],[MonthlyIncome]],1000)</f>
        <v>17000</v>
      </c>
      <c r="T896">
        <v>17779</v>
      </c>
      <c r="U896">
        <v>23474</v>
      </c>
      <c r="V896">
        <v>3</v>
      </c>
      <c r="W896" t="s">
        <v>35</v>
      </c>
      <c r="X896" t="s">
        <v>43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</row>
    <row r="897" spans="1:36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f>FLOOR(Table1_2[[#This Row],[MonthlyIncome]],1000)</f>
        <v>6000</v>
      </c>
      <c r="T897">
        <v>6833</v>
      </c>
      <c r="U897">
        <v>17089</v>
      </c>
      <c r="V897">
        <v>1</v>
      </c>
      <c r="W897" t="s">
        <v>35</v>
      </c>
      <c r="X897" t="s">
        <v>35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</row>
    <row r="898" spans="1:36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f>FLOOR(Table1_2[[#This Row],[MonthlyIncome]],1000)</f>
        <v>6000</v>
      </c>
      <c r="T898">
        <v>6812</v>
      </c>
      <c r="U898">
        <v>17198</v>
      </c>
      <c r="V898">
        <v>1</v>
      </c>
      <c r="W898" t="s">
        <v>35</v>
      </c>
      <c r="X898" t="s">
        <v>43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</row>
    <row r="899" spans="1:36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f>FLOOR(Table1_2[[#This Row],[MonthlyIncome]],1000)</f>
        <v>5000</v>
      </c>
      <c r="T899">
        <v>5171</v>
      </c>
      <c r="U899">
        <v>16490</v>
      </c>
      <c r="V899">
        <v>5</v>
      </c>
      <c r="W899" t="s">
        <v>35</v>
      </c>
      <c r="X899" t="s">
        <v>43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</row>
    <row r="900" spans="1:36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f>FLOOR(Table1_2[[#This Row],[MonthlyIncome]],1000)</f>
        <v>19000</v>
      </c>
      <c r="T900">
        <v>19740</v>
      </c>
      <c r="U900">
        <v>18625</v>
      </c>
      <c r="V900">
        <v>3</v>
      </c>
      <c r="W900" t="s">
        <v>35</v>
      </c>
      <c r="X900" t="s">
        <v>43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</row>
    <row r="901" spans="1:36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f>FLOOR(Table1_2[[#This Row],[MonthlyIncome]],1000)</f>
        <v>18000</v>
      </c>
      <c r="T901">
        <v>18711</v>
      </c>
      <c r="U901">
        <v>12124</v>
      </c>
      <c r="V901">
        <v>2</v>
      </c>
      <c r="W901" t="s">
        <v>35</v>
      </c>
      <c r="X901" t="s">
        <v>43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</row>
    <row r="902" spans="1:36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f>FLOOR(Table1_2[[#This Row],[MonthlyIncome]],1000)</f>
        <v>3000</v>
      </c>
      <c r="T902">
        <v>3692</v>
      </c>
      <c r="U902">
        <v>9256</v>
      </c>
      <c r="V902">
        <v>1</v>
      </c>
      <c r="W902" t="s">
        <v>35</v>
      </c>
      <c r="X902" t="s">
        <v>43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</row>
    <row r="903" spans="1:36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f>FLOOR(Table1_2[[#This Row],[MonthlyIncome]],1000)</f>
        <v>2000</v>
      </c>
      <c r="T903">
        <v>2559</v>
      </c>
      <c r="U903">
        <v>16620</v>
      </c>
      <c r="V903">
        <v>5</v>
      </c>
      <c r="W903" t="s">
        <v>35</v>
      </c>
      <c r="X903" t="s">
        <v>43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</row>
    <row r="904" spans="1:36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f>FLOOR(Table1_2[[#This Row],[MonthlyIncome]],1000)</f>
        <v>2000</v>
      </c>
      <c r="T904">
        <v>2517</v>
      </c>
      <c r="U904">
        <v>3208</v>
      </c>
      <c r="V904">
        <v>1</v>
      </c>
      <c r="W904" t="s">
        <v>35</v>
      </c>
      <c r="X904" t="s">
        <v>43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</row>
    <row r="905" spans="1:36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f>FLOOR(Table1_2[[#This Row],[MonthlyIncome]],1000)</f>
        <v>6000</v>
      </c>
      <c r="T905">
        <v>6623</v>
      </c>
      <c r="U905">
        <v>4204</v>
      </c>
      <c r="V905">
        <v>1</v>
      </c>
      <c r="W905" t="s">
        <v>35</v>
      </c>
      <c r="X905" t="s">
        <v>35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</row>
    <row r="906" spans="1:36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f>FLOOR(Table1_2[[#This Row],[MonthlyIncome]],1000)</f>
        <v>18000</v>
      </c>
      <c r="T906">
        <v>18265</v>
      </c>
      <c r="U906">
        <v>8733</v>
      </c>
      <c r="V906">
        <v>6</v>
      </c>
      <c r="W906" t="s">
        <v>35</v>
      </c>
      <c r="X906" t="s">
        <v>43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</row>
    <row r="907" spans="1:36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f>FLOOR(Table1_2[[#This Row],[MonthlyIncome]],1000)</f>
        <v>16000</v>
      </c>
      <c r="T907">
        <v>16124</v>
      </c>
      <c r="U907">
        <v>3423</v>
      </c>
      <c r="V907">
        <v>3</v>
      </c>
      <c r="W907" t="s">
        <v>35</v>
      </c>
      <c r="X907" t="s">
        <v>43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</row>
    <row r="908" spans="1:36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f>FLOOR(Table1_2[[#This Row],[MonthlyIncome]],1000)</f>
        <v>2000</v>
      </c>
      <c r="T908">
        <v>2585</v>
      </c>
      <c r="U908">
        <v>21643</v>
      </c>
      <c r="V908">
        <v>0</v>
      </c>
      <c r="W908" t="s">
        <v>35</v>
      </c>
      <c r="X908" t="s">
        <v>43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</row>
    <row r="909" spans="1:36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f>FLOOR(Table1_2[[#This Row],[MonthlyIncome]],1000)</f>
        <v>18000</v>
      </c>
      <c r="T909">
        <v>18213</v>
      </c>
      <c r="U909">
        <v>8751</v>
      </c>
      <c r="V909">
        <v>7</v>
      </c>
      <c r="W909" t="s">
        <v>35</v>
      </c>
      <c r="X909" t="s">
        <v>43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</row>
    <row r="910" spans="1:36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f>FLOOR(Table1_2[[#This Row],[MonthlyIncome]],1000)</f>
        <v>8000</v>
      </c>
      <c r="T910">
        <v>8380</v>
      </c>
      <c r="U910">
        <v>21708</v>
      </c>
      <c r="V910">
        <v>0</v>
      </c>
      <c r="W910" t="s">
        <v>35</v>
      </c>
      <c r="X910" t="s">
        <v>35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</row>
    <row r="911" spans="1:36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f>FLOOR(Table1_2[[#This Row],[MonthlyIncome]],1000)</f>
        <v>2000</v>
      </c>
      <c r="T911">
        <v>2994</v>
      </c>
      <c r="U911">
        <v>21221</v>
      </c>
      <c r="V911">
        <v>1</v>
      </c>
      <c r="W911" t="s">
        <v>35</v>
      </c>
      <c r="X911" t="s">
        <v>35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</row>
    <row r="912" spans="1:36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f>FLOOR(Table1_2[[#This Row],[MonthlyIncome]],1000)</f>
        <v>1000</v>
      </c>
      <c r="T912">
        <v>1223</v>
      </c>
      <c r="U912">
        <v>16901</v>
      </c>
      <c r="V912">
        <v>1</v>
      </c>
      <c r="W912" t="s">
        <v>35</v>
      </c>
      <c r="X912" t="s">
        <v>43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</row>
    <row r="913" spans="1:36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f>FLOOR(Table1_2[[#This Row],[MonthlyIncome]],1000)</f>
        <v>1000</v>
      </c>
      <c r="T913">
        <v>1118</v>
      </c>
      <c r="U913">
        <v>8040</v>
      </c>
      <c r="V913">
        <v>1</v>
      </c>
      <c r="W913" t="s">
        <v>35</v>
      </c>
      <c r="X913" t="s">
        <v>35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</row>
    <row r="914" spans="1:36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f>FLOOR(Table1_2[[#This Row],[MonthlyIncome]],1000)</f>
        <v>2000</v>
      </c>
      <c r="T914">
        <v>2875</v>
      </c>
      <c r="U914">
        <v>9973</v>
      </c>
      <c r="V914">
        <v>1</v>
      </c>
      <c r="W914" t="s">
        <v>35</v>
      </c>
      <c r="X914" t="s">
        <v>35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</row>
    <row r="915" spans="1:36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f>FLOOR(Table1_2[[#This Row],[MonthlyIncome]],1000)</f>
        <v>18000</v>
      </c>
      <c r="T915">
        <v>18824</v>
      </c>
      <c r="U915">
        <v>2493</v>
      </c>
      <c r="V915">
        <v>2</v>
      </c>
      <c r="W915" t="s">
        <v>35</v>
      </c>
      <c r="X915" t="s">
        <v>35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</row>
    <row r="916" spans="1:36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f>FLOOR(Table1_2[[#This Row],[MonthlyIncome]],1000)</f>
        <v>13000</v>
      </c>
      <c r="T916">
        <v>13577</v>
      </c>
      <c r="U916">
        <v>25592</v>
      </c>
      <c r="V916">
        <v>1</v>
      </c>
      <c r="W916" t="s">
        <v>35</v>
      </c>
      <c r="X916" t="s">
        <v>35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</row>
    <row r="917" spans="1:36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f>FLOOR(Table1_2[[#This Row],[MonthlyIncome]],1000)</f>
        <v>2000</v>
      </c>
      <c r="T917">
        <v>2625</v>
      </c>
      <c r="U917">
        <v>25308</v>
      </c>
      <c r="V917">
        <v>1</v>
      </c>
      <c r="W917" t="s">
        <v>35</v>
      </c>
      <c r="X917" t="s">
        <v>43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</row>
    <row r="918" spans="1:36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f>FLOOR(Table1_2[[#This Row],[MonthlyIncome]],1000)</f>
        <v>18000</v>
      </c>
      <c r="T918">
        <v>18789</v>
      </c>
      <c r="U918">
        <v>9946</v>
      </c>
      <c r="V918">
        <v>2</v>
      </c>
      <c r="W918" t="s">
        <v>35</v>
      </c>
      <c r="X918" t="s">
        <v>43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</row>
    <row r="919" spans="1:36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f>FLOOR(Table1_2[[#This Row],[MonthlyIncome]],1000)</f>
        <v>4000</v>
      </c>
      <c r="T919">
        <v>4538</v>
      </c>
      <c r="U919">
        <v>6039</v>
      </c>
      <c r="V919">
        <v>0</v>
      </c>
      <c r="W919" t="s">
        <v>35</v>
      </c>
      <c r="X919" t="s">
        <v>35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</row>
    <row r="920" spans="1:36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f>FLOOR(Table1_2[[#This Row],[MonthlyIncome]],1000)</f>
        <v>19000</v>
      </c>
      <c r="T920">
        <v>19847</v>
      </c>
      <c r="U920">
        <v>19196</v>
      </c>
      <c r="V920">
        <v>4</v>
      </c>
      <c r="W920" t="s">
        <v>35</v>
      </c>
      <c r="X920" t="s">
        <v>35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</row>
    <row r="921" spans="1:36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f>FLOOR(Table1_2[[#This Row],[MonthlyIncome]],1000)</f>
        <v>10000</v>
      </c>
      <c r="T921">
        <v>10512</v>
      </c>
      <c r="U921">
        <v>20002</v>
      </c>
      <c r="V921">
        <v>6</v>
      </c>
      <c r="W921" t="s">
        <v>35</v>
      </c>
      <c r="X921" t="s">
        <v>43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</row>
    <row r="922" spans="1:36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f>FLOOR(Table1_2[[#This Row],[MonthlyIncome]],1000)</f>
        <v>4000</v>
      </c>
      <c r="T922">
        <v>4444</v>
      </c>
      <c r="U922">
        <v>22534</v>
      </c>
      <c r="V922">
        <v>4</v>
      </c>
      <c r="W922" t="s">
        <v>35</v>
      </c>
      <c r="X922" t="s">
        <v>43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</row>
    <row r="923" spans="1:36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f>FLOOR(Table1_2[[#This Row],[MonthlyIncome]],1000)</f>
        <v>2000</v>
      </c>
      <c r="T923">
        <v>2154</v>
      </c>
      <c r="U923">
        <v>6842</v>
      </c>
      <c r="V923">
        <v>0</v>
      </c>
      <c r="W923" t="s">
        <v>35</v>
      </c>
      <c r="X923" t="s">
        <v>35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</row>
    <row r="924" spans="1:36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f>FLOOR(Table1_2[[#This Row],[MonthlyIncome]],1000)</f>
        <v>19000</v>
      </c>
      <c r="T924">
        <v>19190</v>
      </c>
      <c r="U924">
        <v>17477</v>
      </c>
      <c r="V924">
        <v>1</v>
      </c>
      <c r="W924" t="s">
        <v>35</v>
      </c>
      <c r="X924" t="s">
        <v>43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</row>
    <row r="925" spans="1:36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f>FLOOR(Table1_2[[#This Row],[MonthlyIncome]],1000)</f>
        <v>4000</v>
      </c>
      <c r="T925">
        <v>4490</v>
      </c>
      <c r="U925">
        <v>21833</v>
      </c>
      <c r="V925">
        <v>4</v>
      </c>
      <c r="W925" t="s">
        <v>35</v>
      </c>
      <c r="X925" t="s">
        <v>43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</row>
    <row r="926" spans="1:36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f>FLOOR(Table1_2[[#This Row],[MonthlyIncome]],1000)</f>
        <v>3000</v>
      </c>
      <c r="T926">
        <v>3506</v>
      </c>
      <c r="U926">
        <v>6020</v>
      </c>
      <c r="V926">
        <v>0</v>
      </c>
      <c r="W926" t="s">
        <v>35</v>
      </c>
      <c r="X926" t="s">
        <v>35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</row>
    <row r="927" spans="1:36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f>FLOOR(Table1_2[[#This Row],[MonthlyIncome]],1000)</f>
        <v>2000</v>
      </c>
      <c r="T927">
        <v>2372</v>
      </c>
      <c r="U927">
        <v>5628</v>
      </c>
      <c r="V927">
        <v>6</v>
      </c>
      <c r="W927" t="s">
        <v>35</v>
      </c>
      <c r="X927" t="s">
        <v>35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</row>
    <row r="928" spans="1:36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f>FLOOR(Table1_2[[#This Row],[MonthlyIncome]],1000)</f>
        <v>10000</v>
      </c>
      <c r="T928">
        <v>10231</v>
      </c>
      <c r="U928">
        <v>20364</v>
      </c>
      <c r="V928">
        <v>3</v>
      </c>
      <c r="W928" t="s">
        <v>35</v>
      </c>
      <c r="X928" t="s">
        <v>43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</row>
    <row r="929" spans="1:36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f>FLOOR(Table1_2[[#This Row],[MonthlyIncome]],1000)</f>
        <v>5000</v>
      </c>
      <c r="T929">
        <v>5410</v>
      </c>
      <c r="U929">
        <v>2323</v>
      </c>
      <c r="V929">
        <v>9</v>
      </c>
      <c r="W929" t="s">
        <v>35</v>
      </c>
      <c r="X929" t="s">
        <v>35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</row>
    <row r="930" spans="1:36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f>FLOOR(Table1_2[[#This Row],[MonthlyIncome]],1000)</f>
        <v>7000</v>
      </c>
      <c r="T930">
        <v>7978</v>
      </c>
      <c r="U930">
        <v>14075</v>
      </c>
      <c r="V930">
        <v>1</v>
      </c>
      <c r="W930" t="s">
        <v>35</v>
      </c>
      <c r="X930" t="s">
        <v>43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</row>
    <row r="931" spans="1:36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f>FLOOR(Table1_2[[#This Row],[MonthlyIncome]],1000)</f>
        <v>3000</v>
      </c>
      <c r="T931">
        <v>3867</v>
      </c>
      <c r="U931">
        <v>14222</v>
      </c>
      <c r="V931">
        <v>1</v>
      </c>
      <c r="W931" t="s">
        <v>35</v>
      </c>
      <c r="X931" t="s">
        <v>35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</row>
    <row r="932" spans="1:36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f>FLOOR(Table1_2[[#This Row],[MonthlyIncome]],1000)</f>
        <v>2000</v>
      </c>
      <c r="T932">
        <v>2838</v>
      </c>
      <c r="U932">
        <v>4257</v>
      </c>
      <c r="V932">
        <v>0</v>
      </c>
      <c r="W932" t="s">
        <v>35</v>
      </c>
      <c r="X932" t="s">
        <v>43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</row>
    <row r="933" spans="1:36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f>FLOOR(Table1_2[[#This Row],[MonthlyIncome]],1000)</f>
        <v>4000</v>
      </c>
      <c r="T933">
        <v>4695</v>
      </c>
      <c r="U933">
        <v>12858</v>
      </c>
      <c r="V933">
        <v>7</v>
      </c>
      <c r="W933" t="s">
        <v>35</v>
      </c>
      <c r="X933" t="s">
        <v>35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</row>
    <row r="934" spans="1:36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f>FLOOR(Table1_2[[#This Row],[MonthlyIncome]],1000)</f>
        <v>3000</v>
      </c>
      <c r="T934">
        <v>3339</v>
      </c>
      <c r="U934">
        <v>17285</v>
      </c>
      <c r="V934">
        <v>3</v>
      </c>
      <c r="W934" t="s">
        <v>35</v>
      </c>
      <c r="X934" t="s">
        <v>35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</row>
    <row r="935" spans="1:36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f>FLOOR(Table1_2[[#This Row],[MonthlyIncome]],1000)</f>
        <v>2000</v>
      </c>
      <c r="T935">
        <v>2080</v>
      </c>
      <c r="U935">
        <v>4732</v>
      </c>
      <c r="V935">
        <v>2</v>
      </c>
      <c r="W935" t="s">
        <v>35</v>
      </c>
      <c r="X935" t="s">
        <v>43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</row>
    <row r="936" spans="1:36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f>FLOOR(Table1_2[[#This Row],[MonthlyIncome]],1000)</f>
        <v>2000</v>
      </c>
      <c r="T936">
        <v>2096</v>
      </c>
      <c r="U936">
        <v>18830</v>
      </c>
      <c r="V936">
        <v>1</v>
      </c>
      <c r="W936" t="s">
        <v>35</v>
      </c>
      <c r="X936" t="s">
        <v>43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</row>
    <row r="937" spans="1:36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f>FLOOR(Table1_2[[#This Row],[MonthlyIncome]],1000)</f>
        <v>6000</v>
      </c>
      <c r="T937">
        <v>6209</v>
      </c>
      <c r="U937">
        <v>11693</v>
      </c>
      <c r="V937">
        <v>1</v>
      </c>
      <c r="W937" t="s">
        <v>35</v>
      </c>
      <c r="X937" t="s">
        <v>43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</row>
    <row r="938" spans="1:36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f>FLOOR(Table1_2[[#This Row],[MonthlyIncome]],1000)</f>
        <v>18000</v>
      </c>
      <c r="T938">
        <v>18061</v>
      </c>
      <c r="U938">
        <v>13035</v>
      </c>
      <c r="V938">
        <v>3</v>
      </c>
      <c r="W938" t="s">
        <v>35</v>
      </c>
      <c r="X938" t="s">
        <v>43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</row>
    <row r="939" spans="1:36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f>FLOOR(Table1_2[[#This Row],[MonthlyIncome]],1000)</f>
        <v>17000</v>
      </c>
      <c r="T939">
        <v>17123</v>
      </c>
      <c r="U939">
        <v>17334</v>
      </c>
      <c r="V939">
        <v>6</v>
      </c>
      <c r="W939" t="s">
        <v>35</v>
      </c>
      <c r="X939" t="s">
        <v>35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</row>
    <row r="940" spans="1:36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f>FLOOR(Table1_2[[#This Row],[MonthlyIncome]],1000)</f>
        <v>2000</v>
      </c>
      <c r="T940">
        <v>2372</v>
      </c>
      <c r="U940">
        <v>26076</v>
      </c>
      <c r="V940">
        <v>1</v>
      </c>
      <c r="W940" t="s">
        <v>35</v>
      </c>
      <c r="X940" t="s">
        <v>43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</row>
    <row r="941" spans="1:36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f>FLOOR(Table1_2[[#This Row],[MonthlyIncome]],1000)</f>
        <v>4000</v>
      </c>
      <c r="T941">
        <v>4883</v>
      </c>
      <c r="U941">
        <v>22845</v>
      </c>
      <c r="V941">
        <v>1</v>
      </c>
      <c r="W941" t="s">
        <v>35</v>
      </c>
      <c r="X941" t="s">
        <v>43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</row>
    <row r="942" spans="1:36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f>FLOOR(Table1_2[[#This Row],[MonthlyIncome]],1000)</f>
        <v>3000</v>
      </c>
      <c r="T942">
        <v>3904</v>
      </c>
      <c r="U942">
        <v>22154</v>
      </c>
      <c r="V942">
        <v>0</v>
      </c>
      <c r="W942" t="s">
        <v>35</v>
      </c>
      <c r="X942" t="s">
        <v>43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</row>
    <row r="943" spans="1:36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f>FLOOR(Table1_2[[#This Row],[MonthlyIncome]],1000)</f>
        <v>4000</v>
      </c>
      <c r="T943">
        <v>4627</v>
      </c>
      <c r="U943">
        <v>23631</v>
      </c>
      <c r="V943">
        <v>0</v>
      </c>
      <c r="W943" t="s">
        <v>35</v>
      </c>
      <c r="X943" t="s">
        <v>43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</row>
    <row r="944" spans="1:36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f>FLOOR(Table1_2[[#This Row],[MonthlyIncome]],1000)</f>
        <v>7000</v>
      </c>
      <c r="T944">
        <v>7094</v>
      </c>
      <c r="U944">
        <v>5747</v>
      </c>
      <c r="V944">
        <v>3</v>
      </c>
      <c r="W944" t="s">
        <v>35</v>
      </c>
      <c r="X944" t="s">
        <v>43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</row>
    <row r="945" spans="1:36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f>FLOOR(Table1_2[[#This Row],[MonthlyIncome]],1000)</f>
        <v>3000</v>
      </c>
      <c r="T945">
        <v>3423</v>
      </c>
      <c r="U945">
        <v>22957</v>
      </c>
      <c r="V945">
        <v>6</v>
      </c>
      <c r="W945" t="s">
        <v>35</v>
      </c>
      <c r="X945" t="s">
        <v>43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</row>
    <row r="946" spans="1:36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f>FLOOR(Table1_2[[#This Row],[MonthlyIncome]],1000)</f>
        <v>6000</v>
      </c>
      <c r="T946">
        <v>6674</v>
      </c>
      <c r="U946">
        <v>16392</v>
      </c>
      <c r="V946">
        <v>0</v>
      </c>
      <c r="W946" t="s">
        <v>35</v>
      </c>
      <c r="X946" t="s">
        <v>43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</row>
    <row r="947" spans="1:36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f>FLOOR(Table1_2[[#This Row],[MonthlyIncome]],1000)</f>
        <v>16000</v>
      </c>
      <c r="T947">
        <v>16880</v>
      </c>
      <c r="U947">
        <v>22422</v>
      </c>
      <c r="V947">
        <v>4</v>
      </c>
      <c r="W947" t="s">
        <v>35</v>
      </c>
      <c r="X947" t="s">
        <v>35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</row>
    <row r="948" spans="1:36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f>FLOOR(Table1_2[[#This Row],[MonthlyIncome]],1000)</f>
        <v>9000</v>
      </c>
      <c r="T948">
        <v>9094</v>
      </c>
      <c r="U948">
        <v>17235</v>
      </c>
      <c r="V948">
        <v>2</v>
      </c>
      <c r="W948" t="s">
        <v>35</v>
      </c>
      <c r="X948" t="s">
        <v>35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</row>
    <row r="949" spans="1:36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f>FLOOR(Table1_2[[#This Row],[MonthlyIncome]],1000)</f>
        <v>8000</v>
      </c>
      <c r="T949">
        <v>8446</v>
      </c>
      <c r="U949">
        <v>21534</v>
      </c>
      <c r="V949">
        <v>9</v>
      </c>
      <c r="W949" t="s">
        <v>35</v>
      </c>
      <c r="X949" t="s">
        <v>35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</row>
    <row r="950" spans="1:36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f>FLOOR(Table1_2[[#This Row],[MonthlyIncome]],1000)</f>
        <v>11000</v>
      </c>
      <c r="T950">
        <v>11916</v>
      </c>
      <c r="U950">
        <v>25927</v>
      </c>
      <c r="V950">
        <v>1</v>
      </c>
      <c r="W950" t="s">
        <v>35</v>
      </c>
      <c r="X950" t="s">
        <v>35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</row>
    <row r="951" spans="1:36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f>FLOOR(Table1_2[[#This Row],[MonthlyIncome]],1000)</f>
        <v>4000</v>
      </c>
      <c r="T951">
        <v>4534</v>
      </c>
      <c r="U951">
        <v>13352</v>
      </c>
      <c r="V951">
        <v>0</v>
      </c>
      <c r="W951" t="s">
        <v>35</v>
      </c>
      <c r="X951" t="s">
        <v>43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</row>
    <row r="952" spans="1:36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f>FLOOR(Table1_2[[#This Row],[MonthlyIncome]],1000)</f>
        <v>9000</v>
      </c>
      <c r="T952">
        <v>9852</v>
      </c>
      <c r="U952">
        <v>8935</v>
      </c>
      <c r="V952">
        <v>1</v>
      </c>
      <c r="W952" t="s">
        <v>35</v>
      </c>
      <c r="X952" t="s">
        <v>35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</row>
    <row r="953" spans="1:36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f>FLOOR(Table1_2[[#This Row],[MonthlyIncome]],1000)</f>
        <v>6000</v>
      </c>
      <c r="T953">
        <v>6151</v>
      </c>
      <c r="U953">
        <v>22074</v>
      </c>
      <c r="V953">
        <v>1</v>
      </c>
      <c r="W953" t="s">
        <v>35</v>
      </c>
      <c r="X953" t="s">
        <v>43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</row>
    <row r="954" spans="1:36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f>FLOOR(Table1_2[[#This Row],[MonthlyIncome]],1000)</f>
        <v>2000</v>
      </c>
      <c r="T954">
        <v>2302</v>
      </c>
      <c r="U954">
        <v>8319</v>
      </c>
      <c r="V954">
        <v>1</v>
      </c>
      <c r="W954" t="s">
        <v>35</v>
      </c>
      <c r="X954" t="s">
        <v>35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</row>
    <row r="955" spans="1:36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f>FLOOR(Table1_2[[#This Row],[MonthlyIncome]],1000)</f>
        <v>2000</v>
      </c>
      <c r="T955">
        <v>2362</v>
      </c>
      <c r="U955">
        <v>14669</v>
      </c>
      <c r="V955">
        <v>4</v>
      </c>
      <c r="W955" t="s">
        <v>35</v>
      </c>
      <c r="X955" t="s">
        <v>43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</row>
    <row r="956" spans="1:36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f>FLOOR(Table1_2[[#This Row],[MonthlyIncome]],1000)</f>
        <v>17000</v>
      </c>
      <c r="T956">
        <v>17861</v>
      </c>
      <c r="U956">
        <v>26582</v>
      </c>
      <c r="V956">
        <v>0</v>
      </c>
      <c r="W956" t="s">
        <v>35</v>
      </c>
      <c r="X956" t="s">
        <v>35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</row>
    <row r="957" spans="1:36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f>FLOOR(Table1_2[[#This Row],[MonthlyIncome]],1000)</f>
        <v>19000</v>
      </c>
      <c r="T957">
        <v>19187</v>
      </c>
      <c r="U957">
        <v>6992</v>
      </c>
      <c r="V957">
        <v>4</v>
      </c>
      <c r="W957" t="s">
        <v>35</v>
      </c>
      <c r="X957" t="s">
        <v>43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</row>
    <row r="958" spans="1:36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f>FLOOR(Table1_2[[#This Row],[MonthlyIncome]],1000)</f>
        <v>19000</v>
      </c>
      <c r="T958">
        <v>19717</v>
      </c>
      <c r="U958">
        <v>4022</v>
      </c>
      <c r="V958">
        <v>6</v>
      </c>
      <c r="W958" t="s">
        <v>35</v>
      </c>
      <c r="X958" t="s">
        <v>43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</row>
    <row r="959" spans="1:36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f>FLOOR(Table1_2[[#This Row],[MonthlyIncome]],1000)</f>
        <v>3000</v>
      </c>
      <c r="T959">
        <v>3544</v>
      </c>
      <c r="U959">
        <v>8532</v>
      </c>
      <c r="V959">
        <v>9</v>
      </c>
      <c r="W959" t="s">
        <v>35</v>
      </c>
      <c r="X959" t="s">
        <v>43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</row>
    <row r="960" spans="1:36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f>FLOOR(Table1_2[[#This Row],[MonthlyIncome]],1000)</f>
        <v>8000</v>
      </c>
      <c r="T960">
        <v>8500</v>
      </c>
      <c r="U960">
        <v>5494</v>
      </c>
      <c r="V960">
        <v>0</v>
      </c>
      <c r="W960" t="s">
        <v>35</v>
      </c>
      <c r="X960" t="s">
        <v>43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</row>
    <row r="961" spans="1:36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f>FLOOR(Table1_2[[#This Row],[MonthlyIncome]],1000)</f>
        <v>4000</v>
      </c>
      <c r="T961">
        <v>4661</v>
      </c>
      <c r="U961">
        <v>22455</v>
      </c>
      <c r="V961">
        <v>1</v>
      </c>
      <c r="W961" t="s">
        <v>35</v>
      </c>
      <c r="X961" t="s">
        <v>43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</row>
    <row r="962" spans="1:36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f>FLOOR(Table1_2[[#This Row],[MonthlyIncome]],1000)</f>
        <v>4000</v>
      </c>
      <c r="T962">
        <v>4103</v>
      </c>
      <c r="U962">
        <v>4297</v>
      </c>
      <c r="V962">
        <v>0</v>
      </c>
      <c r="W962" t="s">
        <v>35</v>
      </c>
      <c r="X962" t="s">
        <v>43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</row>
    <row r="963" spans="1:36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f>FLOOR(Table1_2[[#This Row],[MonthlyIncome]],1000)</f>
        <v>4000</v>
      </c>
      <c r="T963">
        <v>4249</v>
      </c>
      <c r="U963">
        <v>2690</v>
      </c>
      <c r="V963">
        <v>1</v>
      </c>
      <c r="W963" t="s">
        <v>35</v>
      </c>
      <c r="X963" t="s">
        <v>35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</row>
    <row r="964" spans="1:36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f>FLOOR(Table1_2[[#This Row],[MonthlyIncome]],1000)</f>
        <v>14000</v>
      </c>
      <c r="T964">
        <v>14026</v>
      </c>
      <c r="U964">
        <v>17588</v>
      </c>
      <c r="V964">
        <v>1</v>
      </c>
      <c r="W964" t="s">
        <v>35</v>
      </c>
      <c r="X964" t="s">
        <v>35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</row>
    <row r="965" spans="1:36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f>FLOOR(Table1_2[[#This Row],[MonthlyIncome]],1000)</f>
        <v>6000</v>
      </c>
      <c r="T965">
        <v>6893</v>
      </c>
      <c r="U965">
        <v>19461</v>
      </c>
      <c r="V965">
        <v>3</v>
      </c>
      <c r="W965" t="s">
        <v>35</v>
      </c>
      <c r="X965" t="s">
        <v>43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</row>
    <row r="966" spans="1:36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f>FLOOR(Table1_2[[#This Row],[MonthlyIncome]],1000)</f>
        <v>6000</v>
      </c>
      <c r="T966">
        <v>6125</v>
      </c>
      <c r="U966">
        <v>23553</v>
      </c>
      <c r="V966">
        <v>1</v>
      </c>
      <c r="W966" t="s">
        <v>35</v>
      </c>
      <c r="X966" t="s">
        <v>43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</row>
    <row r="967" spans="1:36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f>FLOOR(Table1_2[[#This Row],[MonthlyIncome]],1000)</f>
        <v>3000</v>
      </c>
      <c r="T967">
        <v>3669</v>
      </c>
      <c r="U967">
        <v>9075</v>
      </c>
      <c r="V967">
        <v>3</v>
      </c>
      <c r="W967" t="s">
        <v>35</v>
      </c>
      <c r="X967" t="s">
        <v>43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</row>
    <row r="968" spans="1:36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f>FLOOR(Table1_2[[#This Row],[MonthlyIncome]],1000)</f>
        <v>10000</v>
      </c>
      <c r="T968">
        <v>10008</v>
      </c>
      <c r="U968">
        <v>12023</v>
      </c>
      <c r="V968">
        <v>7</v>
      </c>
      <c r="W968" t="s">
        <v>35</v>
      </c>
      <c r="X968" t="s">
        <v>35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</row>
    <row r="969" spans="1:36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f>FLOOR(Table1_2[[#This Row],[MonthlyIncome]],1000)</f>
        <v>2000</v>
      </c>
      <c r="T969">
        <v>2387</v>
      </c>
      <c r="U969">
        <v>6762</v>
      </c>
      <c r="V969">
        <v>3</v>
      </c>
      <c r="W969" t="s">
        <v>35</v>
      </c>
      <c r="X969" t="s">
        <v>43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</row>
    <row r="970" spans="1:36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f>FLOOR(Table1_2[[#This Row],[MonthlyIncome]],1000)</f>
        <v>4000</v>
      </c>
      <c r="T970">
        <v>4639</v>
      </c>
      <c r="U970">
        <v>2261</v>
      </c>
      <c r="V970">
        <v>2</v>
      </c>
      <c r="W970" t="s">
        <v>35</v>
      </c>
      <c r="X970" t="s">
        <v>43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</row>
    <row r="971" spans="1:36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f>FLOOR(Table1_2[[#This Row],[MonthlyIncome]],1000)</f>
        <v>7000</v>
      </c>
      <c r="T971">
        <v>7898</v>
      </c>
      <c r="U971">
        <v>18706</v>
      </c>
      <c r="V971">
        <v>1</v>
      </c>
      <c r="W971" t="s">
        <v>35</v>
      </c>
      <c r="X971" t="s">
        <v>43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</row>
    <row r="972" spans="1:36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f>FLOOR(Table1_2[[#This Row],[MonthlyIncome]],1000)</f>
        <v>2000</v>
      </c>
      <c r="T972">
        <v>2534</v>
      </c>
      <c r="U972">
        <v>6527</v>
      </c>
      <c r="V972">
        <v>8</v>
      </c>
      <c r="W972" t="s">
        <v>35</v>
      </c>
      <c r="X972" t="s">
        <v>43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</row>
    <row r="973" spans="1:36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f>FLOOR(Table1_2[[#This Row],[MonthlyIncome]],1000)</f>
        <v>13000</v>
      </c>
      <c r="T973">
        <v>13142</v>
      </c>
      <c r="U973">
        <v>24439</v>
      </c>
      <c r="V973">
        <v>3</v>
      </c>
      <c r="W973" t="s">
        <v>35</v>
      </c>
      <c r="X973" t="s">
        <v>43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</row>
    <row r="974" spans="1:36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f>FLOOR(Table1_2[[#This Row],[MonthlyIncome]],1000)</f>
        <v>1000</v>
      </c>
      <c r="T974">
        <v>1611</v>
      </c>
      <c r="U974">
        <v>19305</v>
      </c>
      <c r="V974">
        <v>1</v>
      </c>
      <c r="W974" t="s">
        <v>35</v>
      </c>
      <c r="X974" t="s">
        <v>43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</row>
    <row r="975" spans="1:36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f>FLOOR(Table1_2[[#This Row],[MonthlyIncome]],1000)</f>
        <v>5000</v>
      </c>
      <c r="T975">
        <v>5363</v>
      </c>
      <c r="U975">
        <v>10846</v>
      </c>
      <c r="V975">
        <v>0</v>
      </c>
      <c r="W975" t="s">
        <v>35</v>
      </c>
      <c r="X975" t="s">
        <v>43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</row>
    <row r="976" spans="1:36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f>FLOOR(Table1_2[[#This Row],[MonthlyIncome]],1000)</f>
        <v>5000</v>
      </c>
      <c r="T976">
        <v>5071</v>
      </c>
      <c r="U976">
        <v>20392</v>
      </c>
      <c r="V976">
        <v>3</v>
      </c>
      <c r="W976" t="s">
        <v>35</v>
      </c>
      <c r="X976" t="s">
        <v>43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</row>
    <row r="977" spans="1:36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f>FLOOR(Table1_2[[#This Row],[MonthlyIncome]],1000)</f>
        <v>13000</v>
      </c>
      <c r="T977">
        <v>13695</v>
      </c>
      <c r="U977">
        <v>9277</v>
      </c>
      <c r="V977">
        <v>6</v>
      </c>
      <c r="W977" t="s">
        <v>35</v>
      </c>
      <c r="X977" t="s">
        <v>35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</row>
    <row r="978" spans="1:36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f>FLOOR(Table1_2[[#This Row],[MonthlyIncome]],1000)</f>
        <v>13000</v>
      </c>
      <c r="T978">
        <v>13402</v>
      </c>
      <c r="U978">
        <v>18235</v>
      </c>
      <c r="V978">
        <v>4</v>
      </c>
      <c r="W978" t="s">
        <v>35</v>
      </c>
      <c r="X978" t="s">
        <v>35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</row>
    <row r="979" spans="1:36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f>FLOOR(Table1_2[[#This Row],[MonthlyIncome]],1000)</f>
        <v>2000</v>
      </c>
      <c r="T979">
        <v>2029</v>
      </c>
      <c r="U979">
        <v>15891</v>
      </c>
      <c r="V979">
        <v>1</v>
      </c>
      <c r="W979" t="s">
        <v>35</v>
      </c>
      <c r="X979" t="s">
        <v>43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</row>
    <row r="980" spans="1:36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f>FLOOR(Table1_2[[#This Row],[MonthlyIncome]],1000)</f>
        <v>6000</v>
      </c>
      <c r="T980">
        <v>6377</v>
      </c>
      <c r="U980">
        <v>13888</v>
      </c>
      <c r="V980">
        <v>5</v>
      </c>
      <c r="W980" t="s">
        <v>35</v>
      </c>
      <c r="X980" t="s">
        <v>43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</row>
    <row r="981" spans="1:36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f>FLOOR(Table1_2[[#This Row],[MonthlyIncome]],1000)</f>
        <v>5000</v>
      </c>
      <c r="T981">
        <v>5429</v>
      </c>
      <c r="U981">
        <v>17491</v>
      </c>
      <c r="V981">
        <v>4</v>
      </c>
      <c r="W981" t="s">
        <v>35</v>
      </c>
      <c r="X981" t="s">
        <v>43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</row>
    <row r="982" spans="1:36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f>FLOOR(Table1_2[[#This Row],[MonthlyIncome]],1000)</f>
        <v>2000</v>
      </c>
      <c r="T982">
        <v>2785</v>
      </c>
      <c r="U982">
        <v>11882</v>
      </c>
      <c r="V982">
        <v>7</v>
      </c>
      <c r="W982" t="s">
        <v>35</v>
      </c>
      <c r="X982" t="s">
        <v>43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</row>
    <row r="983" spans="1:36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f>FLOOR(Table1_2[[#This Row],[MonthlyIncome]],1000)</f>
        <v>4000</v>
      </c>
      <c r="T983">
        <v>4614</v>
      </c>
      <c r="U983">
        <v>23288</v>
      </c>
      <c r="V983">
        <v>0</v>
      </c>
      <c r="W983" t="s">
        <v>35</v>
      </c>
      <c r="X983" t="s">
        <v>35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</row>
    <row r="984" spans="1:36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f>FLOOR(Table1_2[[#This Row],[MonthlyIncome]],1000)</f>
        <v>2000</v>
      </c>
      <c r="T984">
        <v>2610</v>
      </c>
      <c r="U984">
        <v>15748</v>
      </c>
      <c r="V984">
        <v>1</v>
      </c>
      <c r="W984" t="s">
        <v>35</v>
      </c>
      <c r="X984" t="s">
        <v>43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</row>
    <row r="985" spans="1:36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f>FLOOR(Table1_2[[#This Row],[MonthlyIncome]],1000)</f>
        <v>6000</v>
      </c>
      <c r="T985">
        <v>6687</v>
      </c>
      <c r="U985">
        <v>6163</v>
      </c>
      <c r="V985">
        <v>1</v>
      </c>
      <c r="W985" t="s">
        <v>35</v>
      </c>
      <c r="X985" t="s">
        <v>43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</row>
    <row r="986" spans="1:36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f>FLOOR(Table1_2[[#This Row],[MonthlyIncome]],1000)</f>
        <v>4000</v>
      </c>
      <c r="T986">
        <v>4724</v>
      </c>
      <c r="U986">
        <v>24232</v>
      </c>
      <c r="V986">
        <v>1</v>
      </c>
      <c r="W986" t="s">
        <v>35</v>
      </c>
      <c r="X986" t="s">
        <v>43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</row>
    <row r="987" spans="1:36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f>FLOOR(Table1_2[[#This Row],[MonthlyIncome]],1000)</f>
        <v>6000</v>
      </c>
      <c r="T987">
        <v>6179</v>
      </c>
      <c r="U987">
        <v>21057</v>
      </c>
      <c r="V987">
        <v>1</v>
      </c>
      <c r="W987" t="s">
        <v>35</v>
      </c>
      <c r="X987" t="s">
        <v>35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</row>
    <row r="988" spans="1:36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f>FLOOR(Table1_2[[#This Row],[MonthlyIncome]],1000)</f>
        <v>6000</v>
      </c>
      <c r="T988">
        <v>6120</v>
      </c>
      <c r="U988">
        <v>3567</v>
      </c>
      <c r="V988">
        <v>3</v>
      </c>
      <c r="W988" t="s">
        <v>35</v>
      </c>
      <c r="X988" t="s">
        <v>35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</row>
    <row r="989" spans="1:36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f>FLOOR(Table1_2[[#This Row],[MonthlyIncome]],1000)</f>
        <v>10000</v>
      </c>
      <c r="T989">
        <v>10596</v>
      </c>
      <c r="U989">
        <v>15395</v>
      </c>
      <c r="V989">
        <v>2</v>
      </c>
      <c r="W989" t="s">
        <v>35</v>
      </c>
      <c r="X989" t="s">
        <v>43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</row>
    <row r="990" spans="1:36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f>FLOOR(Table1_2[[#This Row],[MonthlyIncome]],1000)</f>
        <v>5000</v>
      </c>
      <c r="T990">
        <v>5467</v>
      </c>
      <c r="U990">
        <v>13953</v>
      </c>
      <c r="V990">
        <v>3</v>
      </c>
      <c r="W990" t="s">
        <v>35</v>
      </c>
      <c r="X990" t="s">
        <v>35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</row>
    <row r="991" spans="1:36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f>FLOOR(Table1_2[[#This Row],[MonthlyIncome]],1000)</f>
        <v>2000</v>
      </c>
      <c r="T991">
        <v>2996</v>
      </c>
      <c r="U991">
        <v>5182</v>
      </c>
      <c r="V991">
        <v>7</v>
      </c>
      <c r="W991" t="s">
        <v>35</v>
      </c>
      <c r="X991" t="s">
        <v>35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</row>
    <row r="992" spans="1:36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f>FLOOR(Table1_2[[#This Row],[MonthlyIncome]],1000)</f>
        <v>9000</v>
      </c>
      <c r="T992">
        <v>9998</v>
      </c>
      <c r="U992">
        <v>19293</v>
      </c>
      <c r="V992">
        <v>6</v>
      </c>
      <c r="W992" t="s">
        <v>35</v>
      </c>
      <c r="X992" t="s">
        <v>43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</row>
    <row r="993" spans="1:36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f>FLOOR(Table1_2[[#This Row],[MonthlyIncome]],1000)</f>
        <v>4000</v>
      </c>
      <c r="T993">
        <v>4078</v>
      </c>
      <c r="U993">
        <v>20497</v>
      </c>
      <c r="V993">
        <v>0</v>
      </c>
      <c r="W993" t="s">
        <v>35</v>
      </c>
      <c r="X993" t="s">
        <v>35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</row>
    <row r="994" spans="1:36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f>FLOOR(Table1_2[[#This Row],[MonthlyIncome]],1000)</f>
        <v>10000</v>
      </c>
      <c r="T994">
        <v>10920</v>
      </c>
      <c r="U994">
        <v>3449</v>
      </c>
      <c r="V994">
        <v>3</v>
      </c>
      <c r="W994" t="s">
        <v>35</v>
      </c>
      <c r="X994" t="s">
        <v>43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</row>
    <row r="995" spans="1:36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f>FLOOR(Table1_2[[#This Row],[MonthlyIncome]],1000)</f>
        <v>6000</v>
      </c>
      <c r="T995">
        <v>6232</v>
      </c>
      <c r="U995">
        <v>12477</v>
      </c>
      <c r="V995">
        <v>2</v>
      </c>
      <c r="W995" t="s">
        <v>35</v>
      </c>
      <c r="X995" t="s">
        <v>43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1:36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f>FLOOR(Table1_2[[#This Row],[MonthlyIncome]],1000)</f>
        <v>13000</v>
      </c>
      <c r="T996">
        <v>13247</v>
      </c>
      <c r="U996">
        <v>9731</v>
      </c>
      <c r="V996">
        <v>2</v>
      </c>
      <c r="W996" t="s">
        <v>35</v>
      </c>
      <c r="X996" t="s">
        <v>35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</row>
    <row r="997" spans="1:36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f>FLOOR(Table1_2[[#This Row],[MonthlyIncome]],1000)</f>
        <v>4000</v>
      </c>
      <c r="T997">
        <v>4081</v>
      </c>
      <c r="U997">
        <v>20003</v>
      </c>
      <c r="V997">
        <v>1</v>
      </c>
      <c r="W997" t="s">
        <v>35</v>
      </c>
      <c r="X997" t="s">
        <v>35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</row>
    <row r="998" spans="1:36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f>FLOOR(Table1_2[[#This Row],[MonthlyIncome]],1000)</f>
        <v>5000</v>
      </c>
      <c r="T998">
        <v>5769</v>
      </c>
      <c r="U998">
        <v>7100</v>
      </c>
      <c r="V998">
        <v>1</v>
      </c>
      <c r="W998" t="s">
        <v>35</v>
      </c>
      <c r="X998" t="s">
        <v>35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</row>
    <row r="999" spans="1:36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f>FLOOR(Table1_2[[#This Row],[MonthlyIncome]],1000)</f>
        <v>2000</v>
      </c>
      <c r="T999">
        <v>2394</v>
      </c>
      <c r="U999">
        <v>25681</v>
      </c>
      <c r="V999">
        <v>1</v>
      </c>
      <c r="W999" t="s">
        <v>35</v>
      </c>
      <c r="X999" t="s">
        <v>35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</row>
    <row r="1000" spans="1:36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f>FLOOR(Table1_2[[#This Row],[MonthlyIncome]],1000)</f>
        <v>3000</v>
      </c>
      <c r="T1000">
        <v>3904</v>
      </c>
      <c r="U1000">
        <v>4050</v>
      </c>
      <c r="V1000">
        <v>0</v>
      </c>
      <c r="W1000" t="s">
        <v>35</v>
      </c>
      <c r="X1000" t="s">
        <v>43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</row>
    <row r="1001" spans="1:36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f>FLOOR(Table1_2[[#This Row],[MonthlyIncome]],1000)</f>
        <v>16000</v>
      </c>
      <c r="T1001">
        <v>16799</v>
      </c>
      <c r="U1001">
        <v>16616</v>
      </c>
      <c r="V1001">
        <v>0</v>
      </c>
      <c r="W1001" t="s">
        <v>35</v>
      </c>
      <c r="X1001" t="s">
        <v>43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</row>
    <row r="1002" spans="1:36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f>FLOOR(Table1_2[[#This Row],[MonthlyIncome]],1000)</f>
        <v>2000</v>
      </c>
      <c r="T1002">
        <v>2950</v>
      </c>
      <c r="U1002">
        <v>17363</v>
      </c>
      <c r="V1002">
        <v>9</v>
      </c>
      <c r="W1002" t="s">
        <v>35</v>
      </c>
      <c r="X1002" t="s">
        <v>43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</row>
    <row r="1003" spans="1:36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f>FLOOR(Table1_2[[#This Row],[MonthlyIncome]],1000)</f>
        <v>3000</v>
      </c>
      <c r="T1003">
        <v>3629</v>
      </c>
      <c r="U1003">
        <v>19106</v>
      </c>
      <c r="V1003">
        <v>4</v>
      </c>
      <c r="W1003" t="s">
        <v>35</v>
      </c>
      <c r="X1003" t="s">
        <v>43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</row>
    <row r="1004" spans="1:36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f>FLOOR(Table1_2[[#This Row],[MonthlyIncome]],1000)</f>
        <v>9000</v>
      </c>
      <c r="T1004">
        <v>9362</v>
      </c>
      <c r="U1004">
        <v>19944</v>
      </c>
      <c r="V1004">
        <v>2</v>
      </c>
      <c r="W1004" t="s">
        <v>35</v>
      </c>
      <c r="X1004" t="s">
        <v>43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</row>
    <row r="1005" spans="1:36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f>FLOOR(Table1_2[[#This Row],[MonthlyIncome]],1000)</f>
        <v>3000</v>
      </c>
      <c r="T1005">
        <v>3229</v>
      </c>
      <c r="U1005">
        <v>4910</v>
      </c>
      <c r="V1005">
        <v>4</v>
      </c>
      <c r="W1005" t="s">
        <v>35</v>
      </c>
      <c r="X1005" t="s">
        <v>43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</row>
    <row r="1006" spans="1:36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f>FLOOR(Table1_2[[#This Row],[MonthlyIncome]],1000)</f>
        <v>3000</v>
      </c>
      <c r="T1006">
        <v>3578</v>
      </c>
      <c r="U1006">
        <v>23577</v>
      </c>
      <c r="V1006">
        <v>0</v>
      </c>
      <c r="W1006" t="s">
        <v>35</v>
      </c>
      <c r="X1006" t="s">
        <v>43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</row>
    <row r="1007" spans="1:36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f>FLOOR(Table1_2[[#This Row],[MonthlyIncome]],1000)</f>
        <v>7000</v>
      </c>
      <c r="T1007">
        <v>7988</v>
      </c>
      <c r="U1007">
        <v>9769</v>
      </c>
      <c r="V1007">
        <v>1</v>
      </c>
      <c r="W1007" t="s">
        <v>35</v>
      </c>
      <c r="X1007" t="s">
        <v>43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</row>
    <row r="1008" spans="1:36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f>FLOOR(Table1_2[[#This Row],[MonthlyIncome]],1000)</f>
        <v>4000</v>
      </c>
      <c r="T1008">
        <v>4284</v>
      </c>
      <c r="U1008">
        <v>22710</v>
      </c>
      <c r="V1008">
        <v>3</v>
      </c>
      <c r="W1008" t="s">
        <v>35</v>
      </c>
      <c r="X1008" t="s">
        <v>43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</row>
    <row r="1009" spans="1:36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f>FLOOR(Table1_2[[#This Row],[MonthlyIncome]],1000)</f>
        <v>7000</v>
      </c>
      <c r="T1009">
        <v>7553</v>
      </c>
      <c r="U1009">
        <v>22930</v>
      </c>
      <c r="V1009">
        <v>0</v>
      </c>
      <c r="W1009" t="s">
        <v>35</v>
      </c>
      <c r="X1009" t="s">
        <v>35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</row>
    <row r="1010" spans="1:36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f>FLOOR(Table1_2[[#This Row],[MonthlyIncome]],1000)</f>
        <v>17000</v>
      </c>
      <c r="T1010">
        <v>17328</v>
      </c>
      <c r="U1010">
        <v>5652</v>
      </c>
      <c r="V1010">
        <v>6</v>
      </c>
      <c r="W1010" t="s">
        <v>35</v>
      </c>
      <c r="X1010" t="s">
        <v>43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</row>
    <row r="1011" spans="1:36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f>FLOOR(Table1_2[[#This Row],[MonthlyIncome]],1000)</f>
        <v>19000</v>
      </c>
      <c r="T1011">
        <v>19701</v>
      </c>
      <c r="U1011">
        <v>22456</v>
      </c>
      <c r="V1011">
        <v>3</v>
      </c>
      <c r="W1011" t="s">
        <v>35</v>
      </c>
      <c r="X1011" t="s">
        <v>35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</row>
    <row r="1012" spans="1:36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f>FLOOR(Table1_2[[#This Row],[MonthlyIncome]],1000)</f>
        <v>14000</v>
      </c>
      <c r="T1012">
        <v>14732</v>
      </c>
      <c r="U1012">
        <v>12414</v>
      </c>
      <c r="V1012">
        <v>2</v>
      </c>
      <c r="W1012" t="s">
        <v>35</v>
      </c>
      <c r="X1012" t="s">
        <v>43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</row>
    <row r="1013" spans="1:36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f>FLOOR(Table1_2[[#This Row],[MonthlyIncome]],1000)</f>
        <v>9000</v>
      </c>
      <c r="T1013">
        <v>9278</v>
      </c>
      <c r="U1013">
        <v>20763</v>
      </c>
      <c r="V1013">
        <v>3</v>
      </c>
      <c r="W1013" t="s">
        <v>35</v>
      </c>
      <c r="X1013" t="s">
        <v>35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</row>
    <row r="1014" spans="1:36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f>FLOOR(Table1_2[[#This Row],[MonthlyIncome]],1000)</f>
        <v>1000</v>
      </c>
      <c r="T1014">
        <v>1359</v>
      </c>
      <c r="U1014">
        <v>16154</v>
      </c>
      <c r="V1014">
        <v>1</v>
      </c>
      <c r="W1014" t="s">
        <v>35</v>
      </c>
      <c r="X1014" t="s">
        <v>43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</row>
    <row r="1015" spans="1:36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f>FLOOR(Table1_2[[#This Row],[MonthlyIncome]],1000)</f>
        <v>4000</v>
      </c>
      <c r="T1015">
        <v>4779</v>
      </c>
      <c r="U1015">
        <v>12761</v>
      </c>
      <c r="V1015">
        <v>7</v>
      </c>
      <c r="W1015" t="s">
        <v>35</v>
      </c>
      <c r="X1015" t="s">
        <v>43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</row>
    <row r="1016" spans="1:36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f>FLOOR(Table1_2[[#This Row],[MonthlyIncome]],1000)</f>
        <v>16000</v>
      </c>
      <c r="T1016">
        <v>16422</v>
      </c>
      <c r="U1016">
        <v>8847</v>
      </c>
      <c r="V1016">
        <v>3</v>
      </c>
      <c r="W1016" t="s">
        <v>35</v>
      </c>
      <c r="X1016" t="s">
        <v>43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</row>
    <row r="1017" spans="1:36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f>FLOOR(Table1_2[[#This Row],[MonthlyIncome]],1000)</f>
        <v>2000</v>
      </c>
      <c r="T1017">
        <v>2996</v>
      </c>
      <c r="U1017">
        <v>20284</v>
      </c>
      <c r="V1017">
        <v>5</v>
      </c>
      <c r="W1017" t="s">
        <v>35</v>
      </c>
      <c r="X1017" t="s">
        <v>43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</row>
    <row r="1018" spans="1:36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f>FLOOR(Table1_2[[#This Row],[MonthlyIncome]],1000)</f>
        <v>1000</v>
      </c>
      <c r="T1018">
        <v>1261</v>
      </c>
      <c r="U1018">
        <v>22262</v>
      </c>
      <c r="V1018">
        <v>1</v>
      </c>
      <c r="W1018" t="s">
        <v>35</v>
      </c>
      <c r="X1018" t="s">
        <v>43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</row>
    <row r="1019" spans="1:36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f>FLOOR(Table1_2[[#This Row],[MonthlyIncome]],1000)</f>
        <v>2000</v>
      </c>
      <c r="T1019">
        <v>2099</v>
      </c>
      <c r="U1019">
        <v>7679</v>
      </c>
      <c r="V1019">
        <v>0</v>
      </c>
      <c r="W1019" t="s">
        <v>35</v>
      </c>
      <c r="X1019" t="s">
        <v>43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</row>
    <row r="1020" spans="1:36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f>FLOOR(Table1_2[[#This Row],[MonthlyIncome]],1000)</f>
        <v>5000</v>
      </c>
      <c r="T1020">
        <v>5810</v>
      </c>
      <c r="U1020">
        <v>22604</v>
      </c>
      <c r="V1020">
        <v>1</v>
      </c>
      <c r="W1020" t="s">
        <v>35</v>
      </c>
      <c r="X1020" t="s">
        <v>43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</row>
    <row r="1021" spans="1:36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f>FLOOR(Table1_2[[#This Row],[MonthlyIncome]],1000)</f>
        <v>5000</v>
      </c>
      <c r="T1021">
        <v>5647</v>
      </c>
      <c r="U1021">
        <v>13494</v>
      </c>
      <c r="V1021">
        <v>4</v>
      </c>
      <c r="W1021" t="s">
        <v>35</v>
      </c>
      <c r="X1021" t="s">
        <v>43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</row>
    <row r="1022" spans="1:36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f>FLOOR(Table1_2[[#This Row],[MonthlyIncome]],1000)</f>
        <v>3000</v>
      </c>
      <c r="T1022">
        <v>3420</v>
      </c>
      <c r="U1022">
        <v>10205</v>
      </c>
      <c r="V1022">
        <v>7</v>
      </c>
      <c r="W1022" t="s">
        <v>35</v>
      </c>
      <c r="X1022" t="s">
        <v>43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</row>
    <row r="1023" spans="1:36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f>FLOOR(Table1_2[[#This Row],[MonthlyIncome]],1000)</f>
        <v>4000</v>
      </c>
      <c r="T1023">
        <v>4400</v>
      </c>
      <c r="U1023">
        <v>15182</v>
      </c>
      <c r="V1023">
        <v>3</v>
      </c>
      <c r="W1023" t="s">
        <v>35</v>
      </c>
      <c r="X1023" t="s">
        <v>43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</row>
    <row r="1024" spans="1:36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f>FLOOR(Table1_2[[#This Row],[MonthlyIncome]],1000)</f>
        <v>3000</v>
      </c>
      <c r="T1024">
        <v>3500</v>
      </c>
      <c r="U1024">
        <v>25470</v>
      </c>
      <c r="V1024">
        <v>0</v>
      </c>
      <c r="W1024" t="s">
        <v>35</v>
      </c>
      <c r="X1024" t="s">
        <v>43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</row>
    <row r="1025" spans="1:36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f>FLOOR(Table1_2[[#This Row],[MonthlyIncome]],1000)</f>
        <v>2000</v>
      </c>
      <c r="T1025">
        <v>2066</v>
      </c>
      <c r="U1025">
        <v>10494</v>
      </c>
      <c r="V1025">
        <v>2</v>
      </c>
      <c r="W1025" t="s">
        <v>35</v>
      </c>
      <c r="X1025" t="s">
        <v>43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</row>
    <row r="1026" spans="1:36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f>FLOOR(Table1_2[[#This Row],[MonthlyIncome]],1000)</f>
        <v>17000</v>
      </c>
      <c r="T1026">
        <v>17169</v>
      </c>
      <c r="U1026">
        <v>26703</v>
      </c>
      <c r="V1026">
        <v>3</v>
      </c>
      <c r="W1026" t="s">
        <v>35</v>
      </c>
      <c r="X1026" t="s">
        <v>43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</row>
    <row r="1027" spans="1:36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f>FLOOR(Table1_2[[#This Row],[MonthlyIncome]],1000)</f>
        <v>4000</v>
      </c>
      <c r="T1027">
        <v>4162</v>
      </c>
      <c r="U1027">
        <v>15211</v>
      </c>
      <c r="V1027">
        <v>1</v>
      </c>
      <c r="W1027" t="s">
        <v>35</v>
      </c>
      <c r="X1027" t="s">
        <v>35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</row>
    <row r="1028" spans="1:36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f>FLOOR(Table1_2[[#This Row],[MonthlyIncome]],1000)</f>
        <v>9000</v>
      </c>
      <c r="T1028">
        <v>9204</v>
      </c>
      <c r="U1028">
        <v>23343</v>
      </c>
      <c r="V1028">
        <v>4</v>
      </c>
      <c r="W1028" t="s">
        <v>35</v>
      </c>
      <c r="X1028" t="s">
        <v>43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</row>
    <row r="1029" spans="1:36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f>FLOOR(Table1_2[[#This Row],[MonthlyIncome]],1000)</f>
        <v>3000</v>
      </c>
      <c r="T1029">
        <v>3294</v>
      </c>
      <c r="U1029">
        <v>3708</v>
      </c>
      <c r="V1029">
        <v>5</v>
      </c>
      <c r="W1029" t="s">
        <v>35</v>
      </c>
      <c r="X1029" t="s">
        <v>43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</row>
    <row r="1030" spans="1:36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f>FLOOR(Table1_2[[#This Row],[MonthlyIncome]],1000)</f>
        <v>2000</v>
      </c>
      <c r="T1030">
        <v>2127</v>
      </c>
      <c r="U1030">
        <v>5561</v>
      </c>
      <c r="V1030">
        <v>2</v>
      </c>
      <c r="W1030" t="s">
        <v>35</v>
      </c>
      <c r="X1030" t="s">
        <v>35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</row>
    <row r="1031" spans="1:36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f>FLOOR(Table1_2[[#This Row],[MonthlyIncome]],1000)</f>
        <v>3000</v>
      </c>
      <c r="T1031">
        <v>3975</v>
      </c>
      <c r="U1031">
        <v>23099</v>
      </c>
      <c r="V1031">
        <v>3</v>
      </c>
      <c r="W1031" t="s">
        <v>35</v>
      </c>
      <c r="X1031" t="s">
        <v>43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</row>
    <row r="1032" spans="1:36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f>FLOOR(Table1_2[[#This Row],[MonthlyIncome]],1000)</f>
        <v>10000</v>
      </c>
      <c r="T1032">
        <v>10793</v>
      </c>
      <c r="U1032">
        <v>8386</v>
      </c>
      <c r="V1032">
        <v>1</v>
      </c>
      <c r="W1032" t="s">
        <v>35</v>
      </c>
      <c r="X1032" t="s">
        <v>43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</row>
    <row r="1033" spans="1:36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f>FLOOR(Table1_2[[#This Row],[MonthlyIncome]],1000)</f>
        <v>10000</v>
      </c>
      <c r="T1033">
        <v>10096</v>
      </c>
      <c r="U1033">
        <v>15986</v>
      </c>
      <c r="V1033">
        <v>4</v>
      </c>
      <c r="W1033" t="s">
        <v>35</v>
      </c>
      <c r="X1033" t="s">
        <v>43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</row>
    <row r="1034" spans="1:36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f>FLOOR(Table1_2[[#This Row],[MonthlyIncome]],1000)</f>
        <v>3000</v>
      </c>
      <c r="T1034">
        <v>3646</v>
      </c>
      <c r="U1034">
        <v>17181</v>
      </c>
      <c r="V1034">
        <v>2</v>
      </c>
      <c r="W1034" t="s">
        <v>35</v>
      </c>
      <c r="X1034" t="s">
        <v>35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</row>
    <row r="1035" spans="1:36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f>FLOOR(Table1_2[[#This Row],[MonthlyIncome]],1000)</f>
        <v>7000</v>
      </c>
      <c r="T1035">
        <v>7446</v>
      </c>
      <c r="U1035">
        <v>8931</v>
      </c>
      <c r="V1035">
        <v>1</v>
      </c>
      <c r="W1035" t="s">
        <v>35</v>
      </c>
      <c r="X1035" t="s">
        <v>43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</row>
    <row r="1036" spans="1:36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f>FLOOR(Table1_2[[#This Row],[MonthlyIncome]],1000)</f>
        <v>10000</v>
      </c>
      <c r="T1036">
        <v>10851</v>
      </c>
      <c r="U1036">
        <v>19863</v>
      </c>
      <c r="V1036">
        <v>2</v>
      </c>
      <c r="W1036" t="s">
        <v>35</v>
      </c>
      <c r="X1036" t="s">
        <v>35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</row>
    <row r="1037" spans="1:36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f>FLOOR(Table1_2[[#This Row],[MonthlyIncome]],1000)</f>
        <v>2000</v>
      </c>
      <c r="T1037">
        <v>2109</v>
      </c>
      <c r="U1037">
        <v>24609</v>
      </c>
      <c r="V1037">
        <v>9</v>
      </c>
      <c r="W1037" t="s">
        <v>35</v>
      </c>
      <c r="X1037" t="s">
        <v>43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</row>
    <row r="1038" spans="1:36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f>FLOOR(Table1_2[[#This Row],[MonthlyIncome]],1000)</f>
        <v>3000</v>
      </c>
      <c r="T1038">
        <v>3722</v>
      </c>
      <c r="U1038">
        <v>21081</v>
      </c>
      <c r="V1038">
        <v>6</v>
      </c>
      <c r="W1038" t="s">
        <v>35</v>
      </c>
      <c r="X1038" t="s">
        <v>35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</row>
    <row r="1039" spans="1:36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f>FLOOR(Table1_2[[#This Row],[MonthlyIncome]],1000)</f>
        <v>9000</v>
      </c>
      <c r="T1039">
        <v>9380</v>
      </c>
      <c r="U1039">
        <v>14720</v>
      </c>
      <c r="V1039">
        <v>4</v>
      </c>
      <c r="W1039" t="s">
        <v>35</v>
      </c>
      <c r="X1039" t="s">
        <v>35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</row>
    <row r="1040" spans="1:36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f>FLOOR(Table1_2[[#This Row],[MonthlyIncome]],1000)</f>
        <v>5000</v>
      </c>
      <c r="T1040">
        <v>5486</v>
      </c>
      <c r="U1040">
        <v>24795</v>
      </c>
      <c r="V1040">
        <v>4</v>
      </c>
      <c r="W1040" t="s">
        <v>35</v>
      </c>
      <c r="X1040" t="s">
        <v>43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</row>
    <row r="1041" spans="1:36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f>FLOOR(Table1_2[[#This Row],[MonthlyIncome]],1000)</f>
        <v>2000</v>
      </c>
      <c r="T1041">
        <v>2742</v>
      </c>
      <c r="U1041">
        <v>3072</v>
      </c>
      <c r="V1041">
        <v>1</v>
      </c>
      <c r="W1041" t="s">
        <v>35</v>
      </c>
      <c r="X1041" t="s">
        <v>43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</row>
    <row r="1042" spans="1:36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f>FLOOR(Table1_2[[#This Row],[MonthlyIncome]],1000)</f>
        <v>13000</v>
      </c>
      <c r="T1042">
        <v>13757</v>
      </c>
      <c r="U1042">
        <v>25178</v>
      </c>
      <c r="V1042">
        <v>2</v>
      </c>
      <c r="W1042" t="s">
        <v>35</v>
      </c>
      <c r="X1042" t="s">
        <v>43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</row>
    <row r="1043" spans="1:36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f>FLOOR(Table1_2[[#This Row],[MonthlyIncome]],1000)</f>
        <v>8000</v>
      </c>
      <c r="T1043">
        <v>8463</v>
      </c>
      <c r="U1043">
        <v>23490</v>
      </c>
      <c r="V1043">
        <v>0</v>
      </c>
      <c r="W1043" t="s">
        <v>35</v>
      </c>
      <c r="X1043" t="s">
        <v>43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</row>
    <row r="1044" spans="1:36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f>FLOOR(Table1_2[[#This Row],[MonthlyIncome]],1000)</f>
        <v>3000</v>
      </c>
      <c r="T1044">
        <v>3162</v>
      </c>
      <c r="U1044">
        <v>7973</v>
      </c>
      <c r="V1044">
        <v>3</v>
      </c>
      <c r="W1044" t="s">
        <v>35</v>
      </c>
      <c r="X1044" t="s">
        <v>43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</row>
    <row r="1045" spans="1:36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f>FLOOR(Table1_2[[#This Row],[MonthlyIncome]],1000)</f>
        <v>16000</v>
      </c>
      <c r="T1045">
        <v>16598</v>
      </c>
      <c r="U1045">
        <v>19764</v>
      </c>
      <c r="V1045">
        <v>4</v>
      </c>
      <c r="W1045" t="s">
        <v>35</v>
      </c>
      <c r="X1045" t="s">
        <v>43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</row>
    <row r="1046" spans="1:36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f>FLOOR(Table1_2[[#This Row],[MonthlyIncome]],1000)</f>
        <v>6000</v>
      </c>
      <c r="T1046">
        <v>6651</v>
      </c>
      <c r="U1046">
        <v>21534</v>
      </c>
      <c r="V1046">
        <v>2</v>
      </c>
      <c r="W1046" t="s">
        <v>35</v>
      </c>
      <c r="X1046" t="s">
        <v>43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</row>
    <row r="1047" spans="1:36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f>FLOOR(Table1_2[[#This Row],[MonthlyIncome]],1000)</f>
        <v>2000</v>
      </c>
      <c r="T1047">
        <v>2345</v>
      </c>
      <c r="U1047">
        <v>8045</v>
      </c>
      <c r="V1047">
        <v>2</v>
      </c>
      <c r="W1047" t="s">
        <v>35</v>
      </c>
      <c r="X1047" t="s">
        <v>43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</row>
    <row r="1048" spans="1:36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f>FLOOR(Table1_2[[#This Row],[MonthlyIncome]],1000)</f>
        <v>3000</v>
      </c>
      <c r="T1048">
        <v>3420</v>
      </c>
      <c r="U1048">
        <v>21158</v>
      </c>
      <c r="V1048">
        <v>1</v>
      </c>
      <c r="W1048" t="s">
        <v>35</v>
      </c>
      <c r="X1048" t="s">
        <v>43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</row>
    <row r="1049" spans="1:36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f>FLOOR(Table1_2[[#This Row],[MonthlyIncome]],1000)</f>
        <v>4000</v>
      </c>
      <c r="T1049">
        <v>4373</v>
      </c>
      <c r="U1049">
        <v>17456</v>
      </c>
      <c r="V1049">
        <v>0</v>
      </c>
      <c r="W1049" t="s">
        <v>35</v>
      </c>
      <c r="X1049" t="s">
        <v>43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</row>
    <row r="1050" spans="1:36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f>FLOOR(Table1_2[[#This Row],[MonthlyIncome]],1000)</f>
        <v>4000</v>
      </c>
      <c r="T1050">
        <v>4759</v>
      </c>
      <c r="U1050">
        <v>15891</v>
      </c>
      <c r="V1050">
        <v>3</v>
      </c>
      <c r="W1050" t="s">
        <v>35</v>
      </c>
      <c r="X1050" t="s">
        <v>43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</row>
    <row r="1051" spans="1:36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f>FLOOR(Table1_2[[#This Row],[MonthlyIncome]],1000)</f>
        <v>5000</v>
      </c>
      <c r="T1051">
        <v>5301</v>
      </c>
      <c r="U1051">
        <v>2939</v>
      </c>
      <c r="V1051">
        <v>8</v>
      </c>
      <c r="W1051" t="s">
        <v>35</v>
      </c>
      <c r="X1051" t="s">
        <v>43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</row>
    <row r="1052" spans="1:36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f>FLOOR(Table1_2[[#This Row],[MonthlyIncome]],1000)</f>
        <v>3000</v>
      </c>
      <c r="T1052">
        <v>3673</v>
      </c>
      <c r="U1052">
        <v>16458</v>
      </c>
      <c r="V1052">
        <v>1</v>
      </c>
      <c r="W1052" t="s">
        <v>35</v>
      </c>
      <c r="X1052" t="s">
        <v>43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</row>
    <row r="1053" spans="1:36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f>FLOOR(Table1_2[[#This Row],[MonthlyIncome]],1000)</f>
        <v>4000</v>
      </c>
      <c r="T1053">
        <v>4768</v>
      </c>
      <c r="U1053">
        <v>9282</v>
      </c>
      <c r="V1053">
        <v>7</v>
      </c>
      <c r="W1053" t="s">
        <v>35</v>
      </c>
      <c r="X1053" t="s">
        <v>43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</row>
    <row r="1054" spans="1:36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f>FLOOR(Table1_2[[#This Row],[MonthlyIncome]],1000)</f>
        <v>1000</v>
      </c>
      <c r="T1054">
        <v>1274</v>
      </c>
      <c r="U1054">
        <v>7152</v>
      </c>
      <c r="V1054">
        <v>1</v>
      </c>
      <c r="W1054" t="s">
        <v>35</v>
      </c>
      <c r="X1054" t="s">
        <v>43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</row>
    <row r="1055" spans="1:36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f>FLOOR(Table1_2[[#This Row],[MonthlyIncome]],1000)</f>
        <v>4000</v>
      </c>
      <c r="T1055">
        <v>4900</v>
      </c>
      <c r="U1055">
        <v>2721</v>
      </c>
      <c r="V1055">
        <v>0</v>
      </c>
      <c r="W1055" t="s">
        <v>35</v>
      </c>
      <c r="X1055" t="s">
        <v>43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</row>
    <row r="1056" spans="1:36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f>FLOOR(Table1_2[[#This Row],[MonthlyIncome]],1000)</f>
        <v>10000</v>
      </c>
      <c r="T1056">
        <v>10466</v>
      </c>
      <c r="U1056">
        <v>20948</v>
      </c>
      <c r="V1056">
        <v>3</v>
      </c>
      <c r="W1056" t="s">
        <v>35</v>
      </c>
      <c r="X1056" t="s">
        <v>43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</row>
    <row r="1057" spans="1:36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f>FLOOR(Table1_2[[#This Row],[MonthlyIncome]],1000)</f>
        <v>17000</v>
      </c>
      <c r="T1057">
        <v>17007</v>
      </c>
      <c r="U1057">
        <v>11929</v>
      </c>
      <c r="V1057">
        <v>7</v>
      </c>
      <c r="W1057" t="s">
        <v>35</v>
      </c>
      <c r="X1057" t="s">
        <v>43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</row>
    <row r="1058" spans="1:36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f>FLOOR(Table1_2[[#This Row],[MonthlyIncome]],1000)</f>
        <v>2000</v>
      </c>
      <c r="T1058">
        <v>2909</v>
      </c>
      <c r="U1058">
        <v>15747</v>
      </c>
      <c r="V1058">
        <v>3</v>
      </c>
      <c r="W1058" t="s">
        <v>35</v>
      </c>
      <c r="X1058" t="s">
        <v>43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</row>
    <row r="1059" spans="1:36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f>FLOOR(Table1_2[[#This Row],[MonthlyIncome]],1000)</f>
        <v>5000</v>
      </c>
      <c r="T1059">
        <v>5765</v>
      </c>
      <c r="U1059">
        <v>17485</v>
      </c>
      <c r="V1059">
        <v>5</v>
      </c>
      <c r="W1059" t="s">
        <v>35</v>
      </c>
      <c r="X1059" t="s">
        <v>43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</row>
    <row r="1060" spans="1:36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f>FLOOR(Table1_2[[#This Row],[MonthlyIncome]],1000)</f>
        <v>4000</v>
      </c>
      <c r="T1060">
        <v>4599</v>
      </c>
      <c r="U1060">
        <v>7815</v>
      </c>
      <c r="V1060">
        <v>0</v>
      </c>
      <c r="W1060" t="s">
        <v>35</v>
      </c>
      <c r="X1060" t="s">
        <v>35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</row>
    <row r="1061" spans="1:36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f>FLOOR(Table1_2[[#This Row],[MonthlyIncome]],1000)</f>
        <v>2000</v>
      </c>
      <c r="T1061">
        <v>2404</v>
      </c>
      <c r="U1061">
        <v>16192</v>
      </c>
      <c r="V1061">
        <v>1</v>
      </c>
      <c r="W1061" t="s">
        <v>35</v>
      </c>
      <c r="X1061" t="s">
        <v>43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</row>
    <row r="1062" spans="1:36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f>FLOOR(Table1_2[[#This Row],[MonthlyIncome]],1000)</f>
        <v>3000</v>
      </c>
      <c r="T1062">
        <v>3172</v>
      </c>
      <c r="U1062">
        <v>16998</v>
      </c>
      <c r="V1062">
        <v>2</v>
      </c>
      <c r="W1062" t="s">
        <v>35</v>
      </c>
      <c r="X1062" t="s">
        <v>35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</row>
    <row r="1063" spans="1:36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f>FLOOR(Table1_2[[#This Row],[MonthlyIncome]],1000)</f>
        <v>2000</v>
      </c>
      <c r="T1063">
        <v>2033</v>
      </c>
      <c r="U1063">
        <v>7103</v>
      </c>
      <c r="V1063">
        <v>1</v>
      </c>
      <c r="W1063" t="s">
        <v>35</v>
      </c>
      <c r="X1063" t="s">
        <v>43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1:36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f>FLOOR(Table1_2[[#This Row],[MonthlyIncome]],1000)</f>
        <v>10000</v>
      </c>
      <c r="T1064">
        <v>10209</v>
      </c>
      <c r="U1064">
        <v>19719</v>
      </c>
      <c r="V1064">
        <v>5</v>
      </c>
      <c r="W1064" t="s">
        <v>35</v>
      </c>
      <c r="X1064" t="s">
        <v>35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</row>
    <row r="1065" spans="1:36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f>FLOOR(Table1_2[[#This Row],[MonthlyIncome]],1000)</f>
        <v>8000</v>
      </c>
      <c r="T1065">
        <v>8620</v>
      </c>
      <c r="U1065">
        <v>23757</v>
      </c>
      <c r="V1065">
        <v>1</v>
      </c>
      <c r="W1065" t="s">
        <v>35</v>
      </c>
      <c r="X1065" t="s">
        <v>43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</row>
    <row r="1066" spans="1:36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f>FLOOR(Table1_2[[#This Row],[MonthlyIncome]],1000)</f>
        <v>2000</v>
      </c>
      <c r="T1066">
        <v>2064</v>
      </c>
      <c r="U1066">
        <v>15428</v>
      </c>
      <c r="V1066">
        <v>0</v>
      </c>
      <c r="W1066" t="s">
        <v>35</v>
      </c>
      <c r="X1066" t="s">
        <v>43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</row>
    <row r="1067" spans="1:36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f>FLOOR(Table1_2[[#This Row],[MonthlyIncome]],1000)</f>
        <v>4000</v>
      </c>
      <c r="T1067">
        <v>4035</v>
      </c>
      <c r="U1067">
        <v>16143</v>
      </c>
      <c r="V1067">
        <v>0</v>
      </c>
      <c r="W1067" t="s">
        <v>35</v>
      </c>
      <c r="X1067" t="s">
        <v>35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</row>
    <row r="1068" spans="1:36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f>FLOOR(Table1_2[[#This Row],[MonthlyIncome]],1000)</f>
        <v>3000</v>
      </c>
      <c r="T1068">
        <v>3838</v>
      </c>
      <c r="U1068">
        <v>8192</v>
      </c>
      <c r="V1068">
        <v>8</v>
      </c>
      <c r="W1068" t="s">
        <v>35</v>
      </c>
      <c r="X1068" t="s">
        <v>43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</row>
    <row r="1069" spans="1:36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f>FLOOR(Table1_2[[#This Row],[MonthlyIncome]],1000)</f>
        <v>4000</v>
      </c>
      <c r="T1069">
        <v>4591</v>
      </c>
      <c r="U1069">
        <v>24200</v>
      </c>
      <c r="V1069">
        <v>3</v>
      </c>
      <c r="W1069" t="s">
        <v>35</v>
      </c>
      <c r="X1069" t="s">
        <v>35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</row>
    <row r="1070" spans="1:36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f>FLOOR(Table1_2[[#This Row],[MonthlyIncome]],1000)</f>
        <v>2000</v>
      </c>
      <c r="T1070">
        <v>2561</v>
      </c>
      <c r="U1070">
        <v>5355</v>
      </c>
      <c r="V1070">
        <v>7</v>
      </c>
      <c r="W1070" t="s">
        <v>35</v>
      </c>
      <c r="X1070" t="s">
        <v>43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</row>
    <row r="1071" spans="1:36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f>FLOOR(Table1_2[[#This Row],[MonthlyIncome]],1000)</f>
        <v>1000</v>
      </c>
      <c r="T1071">
        <v>1563</v>
      </c>
      <c r="U1071">
        <v>12530</v>
      </c>
      <c r="V1071">
        <v>1</v>
      </c>
      <c r="W1071" t="s">
        <v>35</v>
      </c>
      <c r="X1071" t="s">
        <v>43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</row>
    <row r="1072" spans="1:36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f>FLOOR(Table1_2[[#This Row],[MonthlyIncome]],1000)</f>
        <v>4000</v>
      </c>
      <c r="T1072">
        <v>4898</v>
      </c>
      <c r="U1072">
        <v>11827</v>
      </c>
      <c r="V1072">
        <v>0</v>
      </c>
      <c r="W1072" t="s">
        <v>35</v>
      </c>
      <c r="X1072" t="s">
        <v>43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</row>
    <row r="1073" spans="1:36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f>FLOOR(Table1_2[[#This Row],[MonthlyIncome]],1000)</f>
        <v>4000</v>
      </c>
      <c r="T1073">
        <v>4789</v>
      </c>
      <c r="U1073">
        <v>23070</v>
      </c>
      <c r="V1073">
        <v>4</v>
      </c>
      <c r="W1073" t="s">
        <v>35</v>
      </c>
      <c r="X1073" t="s">
        <v>43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</row>
    <row r="1074" spans="1:36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f>FLOOR(Table1_2[[#This Row],[MonthlyIncome]],1000)</f>
        <v>3000</v>
      </c>
      <c r="T1074">
        <v>3180</v>
      </c>
      <c r="U1074">
        <v>4668</v>
      </c>
      <c r="V1074">
        <v>0</v>
      </c>
      <c r="W1074" t="s">
        <v>35</v>
      </c>
      <c r="X1074" t="s">
        <v>43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</row>
    <row r="1075" spans="1:36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f>FLOOR(Table1_2[[#This Row],[MonthlyIncome]],1000)</f>
        <v>6000</v>
      </c>
      <c r="T1075">
        <v>6549</v>
      </c>
      <c r="U1075">
        <v>3173</v>
      </c>
      <c r="V1075">
        <v>1</v>
      </c>
      <c r="W1075" t="s">
        <v>35</v>
      </c>
      <c r="X1075" t="s">
        <v>43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</row>
    <row r="1076" spans="1:36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f>FLOOR(Table1_2[[#This Row],[MonthlyIncome]],1000)</f>
        <v>6000</v>
      </c>
      <c r="T1076">
        <v>6388</v>
      </c>
      <c r="U1076">
        <v>22049</v>
      </c>
      <c r="V1076">
        <v>2</v>
      </c>
      <c r="W1076" t="s">
        <v>35</v>
      </c>
      <c r="X1076" t="s">
        <v>35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</row>
    <row r="1077" spans="1:36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f>FLOOR(Table1_2[[#This Row],[MonthlyIncome]],1000)</f>
        <v>11000</v>
      </c>
      <c r="T1077">
        <v>11244</v>
      </c>
      <c r="U1077">
        <v>21072</v>
      </c>
      <c r="V1077">
        <v>2</v>
      </c>
      <c r="W1077" t="s">
        <v>35</v>
      </c>
      <c r="X1077" t="s">
        <v>43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</row>
    <row r="1078" spans="1:36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f>FLOOR(Table1_2[[#This Row],[MonthlyIncome]],1000)</f>
        <v>16000</v>
      </c>
      <c r="T1078">
        <v>16032</v>
      </c>
      <c r="U1078">
        <v>24456</v>
      </c>
      <c r="V1078">
        <v>3</v>
      </c>
      <c r="W1078" t="s">
        <v>35</v>
      </c>
      <c r="X1078" t="s">
        <v>43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</row>
    <row r="1079" spans="1:36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f>FLOOR(Table1_2[[#This Row],[MonthlyIncome]],1000)</f>
        <v>2000</v>
      </c>
      <c r="T1079">
        <v>2362</v>
      </c>
      <c r="U1079">
        <v>7568</v>
      </c>
      <c r="V1079">
        <v>6</v>
      </c>
      <c r="W1079" t="s">
        <v>35</v>
      </c>
      <c r="X1079" t="s">
        <v>43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</row>
    <row r="1080" spans="1:36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f>FLOOR(Table1_2[[#This Row],[MonthlyIncome]],1000)</f>
        <v>16000</v>
      </c>
      <c r="T1080">
        <v>16328</v>
      </c>
      <c r="U1080">
        <v>22074</v>
      </c>
      <c r="V1080">
        <v>3</v>
      </c>
      <c r="W1080" t="s">
        <v>35</v>
      </c>
      <c r="X1080" t="s">
        <v>43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</row>
    <row r="1081" spans="1:36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f>FLOOR(Table1_2[[#This Row],[MonthlyIncome]],1000)</f>
        <v>8000</v>
      </c>
      <c r="T1081">
        <v>8376</v>
      </c>
      <c r="U1081">
        <v>9150</v>
      </c>
      <c r="V1081">
        <v>4</v>
      </c>
      <c r="W1081" t="s">
        <v>35</v>
      </c>
      <c r="X1081" t="s">
        <v>43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</row>
    <row r="1082" spans="1:36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f>FLOOR(Table1_2[[#This Row],[MonthlyIncome]],1000)</f>
        <v>16000</v>
      </c>
      <c r="T1082">
        <v>16606</v>
      </c>
      <c r="U1082">
        <v>11380</v>
      </c>
      <c r="V1082">
        <v>8</v>
      </c>
      <c r="W1082" t="s">
        <v>35</v>
      </c>
      <c r="X1082" t="s">
        <v>43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</row>
    <row r="1083" spans="1:36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f>FLOOR(Table1_2[[#This Row],[MonthlyIncome]],1000)</f>
        <v>8000</v>
      </c>
      <c r="T1083">
        <v>8606</v>
      </c>
      <c r="U1083">
        <v>21195</v>
      </c>
      <c r="V1083">
        <v>1</v>
      </c>
      <c r="W1083" t="s">
        <v>35</v>
      </c>
      <c r="X1083" t="s">
        <v>43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</row>
    <row r="1084" spans="1:36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f>FLOOR(Table1_2[[#This Row],[MonthlyIncome]],1000)</f>
        <v>2000</v>
      </c>
      <c r="T1084">
        <v>2272</v>
      </c>
      <c r="U1084">
        <v>24812</v>
      </c>
      <c r="V1084">
        <v>0</v>
      </c>
      <c r="W1084" t="s">
        <v>35</v>
      </c>
      <c r="X1084" t="s">
        <v>43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</row>
    <row r="1085" spans="1:36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f>FLOOR(Table1_2[[#This Row],[MonthlyIncome]],1000)</f>
        <v>2000</v>
      </c>
      <c r="T1085">
        <v>2018</v>
      </c>
      <c r="U1085">
        <v>21831</v>
      </c>
      <c r="V1085">
        <v>3</v>
      </c>
      <c r="W1085" t="s">
        <v>35</v>
      </c>
      <c r="X1085" t="s">
        <v>43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</row>
    <row r="1086" spans="1:36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f>FLOOR(Table1_2[[#This Row],[MonthlyIncome]],1000)</f>
        <v>7000</v>
      </c>
      <c r="T1086">
        <v>7083</v>
      </c>
      <c r="U1086">
        <v>12288</v>
      </c>
      <c r="V1086">
        <v>1</v>
      </c>
      <c r="W1086" t="s">
        <v>35</v>
      </c>
      <c r="X1086" t="s">
        <v>35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</row>
    <row r="1087" spans="1:36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f>FLOOR(Table1_2[[#This Row],[MonthlyIncome]],1000)</f>
        <v>4000</v>
      </c>
      <c r="T1087">
        <v>4084</v>
      </c>
      <c r="U1087">
        <v>4156</v>
      </c>
      <c r="V1087">
        <v>1</v>
      </c>
      <c r="W1087" t="s">
        <v>35</v>
      </c>
      <c r="X1087" t="s">
        <v>43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</row>
    <row r="1088" spans="1:36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f>FLOOR(Table1_2[[#This Row],[MonthlyIncome]],1000)</f>
        <v>14000</v>
      </c>
      <c r="T1088">
        <v>14411</v>
      </c>
      <c r="U1088">
        <v>24450</v>
      </c>
      <c r="V1088">
        <v>1</v>
      </c>
      <c r="W1088" t="s">
        <v>35</v>
      </c>
      <c r="X1088" t="s">
        <v>35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</row>
    <row r="1089" spans="1:36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f>FLOOR(Table1_2[[#This Row],[MonthlyIncome]],1000)</f>
        <v>2000</v>
      </c>
      <c r="T1089">
        <v>2308</v>
      </c>
      <c r="U1089">
        <v>4944</v>
      </c>
      <c r="V1089">
        <v>0</v>
      </c>
      <c r="W1089" t="s">
        <v>35</v>
      </c>
      <c r="X1089" t="s">
        <v>35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</row>
    <row r="1090" spans="1:36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f>FLOOR(Table1_2[[#This Row],[MonthlyIncome]],1000)</f>
        <v>4000</v>
      </c>
      <c r="T1090">
        <v>4841</v>
      </c>
      <c r="U1090">
        <v>24052</v>
      </c>
      <c r="V1090">
        <v>4</v>
      </c>
      <c r="W1090" t="s">
        <v>35</v>
      </c>
      <c r="X1090" t="s">
        <v>43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</row>
    <row r="1091" spans="1:36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f>FLOOR(Table1_2[[#This Row],[MonthlyIncome]],1000)</f>
        <v>4000</v>
      </c>
      <c r="T1091">
        <v>4285</v>
      </c>
      <c r="U1091">
        <v>3031</v>
      </c>
      <c r="V1091">
        <v>1</v>
      </c>
      <c r="W1091" t="s">
        <v>35</v>
      </c>
      <c r="X1091" t="s">
        <v>43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</row>
    <row r="1092" spans="1:36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f>FLOOR(Table1_2[[#This Row],[MonthlyIncome]],1000)</f>
        <v>9000</v>
      </c>
      <c r="T1092">
        <v>9715</v>
      </c>
      <c r="U1092">
        <v>7288</v>
      </c>
      <c r="V1092">
        <v>3</v>
      </c>
      <c r="W1092" t="s">
        <v>35</v>
      </c>
      <c r="X1092" t="s">
        <v>43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</row>
    <row r="1093" spans="1:36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f>FLOOR(Table1_2[[#This Row],[MonthlyIncome]],1000)</f>
        <v>4000</v>
      </c>
      <c r="T1093">
        <v>4320</v>
      </c>
      <c r="U1093">
        <v>24152</v>
      </c>
      <c r="V1093">
        <v>1</v>
      </c>
      <c r="W1093" t="s">
        <v>35</v>
      </c>
      <c r="X1093" t="s">
        <v>43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</row>
    <row r="1094" spans="1:36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f>FLOOR(Table1_2[[#This Row],[MonthlyIncome]],1000)</f>
        <v>2000</v>
      </c>
      <c r="T1094">
        <v>2132</v>
      </c>
      <c r="U1094">
        <v>4585</v>
      </c>
      <c r="V1094">
        <v>4</v>
      </c>
      <c r="W1094" t="s">
        <v>35</v>
      </c>
      <c r="X1094" t="s">
        <v>43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</row>
    <row r="1095" spans="1:36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f>FLOOR(Table1_2[[#This Row],[MonthlyIncome]],1000)</f>
        <v>10000</v>
      </c>
      <c r="T1095">
        <v>10124</v>
      </c>
      <c r="U1095">
        <v>18611</v>
      </c>
      <c r="V1095">
        <v>2</v>
      </c>
      <c r="W1095" t="s">
        <v>35</v>
      </c>
      <c r="X1095" t="s">
        <v>35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</row>
    <row r="1096" spans="1:36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f>FLOOR(Table1_2[[#This Row],[MonthlyIncome]],1000)</f>
        <v>5000</v>
      </c>
      <c r="T1096">
        <v>5473</v>
      </c>
      <c r="U1096">
        <v>19345</v>
      </c>
      <c r="V1096">
        <v>0</v>
      </c>
      <c r="W1096" t="s">
        <v>35</v>
      </c>
      <c r="X1096" t="s">
        <v>43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</row>
    <row r="1097" spans="1:36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f>FLOOR(Table1_2[[#This Row],[MonthlyIncome]],1000)</f>
        <v>5000</v>
      </c>
      <c r="T1097">
        <v>5207</v>
      </c>
      <c r="U1097">
        <v>22949</v>
      </c>
      <c r="V1097">
        <v>1</v>
      </c>
      <c r="W1097" t="s">
        <v>35</v>
      </c>
      <c r="X1097" t="s">
        <v>35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</row>
    <row r="1098" spans="1:36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f>FLOOR(Table1_2[[#This Row],[MonthlyIncome]],1000)</f>
        <v>16000</v>
      </c>
      <c r="T1098">
        <v>16437</v>
      </c>
      <c r="U1098">
        <v>17381</v>
      </c>
      <c r="V1098">
        <v>1</v>
      </c>
      <c r="W1098" t="s">
        <v>35</v>
      </c>
      <c r="X1098" t="s">
        <v>35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</row>
    <row r="1099" spans="1:36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f>FLOOR(Table1_2[[#This Row],[MonthlyIncome]],1000)</f>
        <v>2000</v>
      </c>
      <c r="T1099">
        <v>2296</v>
      </c>
      <c r="U1099">
        <v>10036</v>
      </c>
      <c r="V1099">
        <v>0</v>
      </c>
      <c r="W1099" t="s">
        <v>35</v>
      </c>
      <c r="X1099" t="s">
        <v>43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</row>
    <row r="1100" spans="1:36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f>FLOOR(Table1_2[[#This Row],[MonthlyIncome]],1000)</f>
        <v>4000</v>
      </c>
      <c r="T1100">
        <v>4069</v>
      </c>
      <c r="U1100">
        <v>8841</v>
      </c>
      <c r="V1100">
        <v>3</v>
      </c>
      <c r="W1100" t="s">
        <v>35</v>
      </c>
      <c r="X1100" t="s">
        <v>35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</row>
    <row r="1101" spans="1:36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f>FLOOR(Table1_2[[#This Row],[MonthlyIncome]],1000)</f>
        <v>7000</v>
      </c>
      <c r="T1101">
        <v>7441</v>
      </c>
      <c r="U1101">
        <v>20933</v>
      </c>
      <c r="V1101">
        <v>1</v>
      </c>
      <c r="W1101" t="s">
        <v>35</v>
      </c>
      <c r="X1101" t="s">
        <v>43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</row>
    <row r="1102" spans="1:36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f>FLOOR(Table1_2[[#This Row],[MonthlyIncome]],1000)</f>
        <v>2000</v>
      </c>
      <c r="T1102">
        <v>2430</v>
      </c>
      <c r="U1102">
        <v>26204</v>
      </c>
      <c r="V1102">
        <v>0</v>
      </c>
      <c r="W1102" t="s">
        <v>35</v>
      </c>
      <c r="X1102" t="s">
        <v>43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</row>
    <row r="1103" spans="1:36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f>FLOOR(Table1_2[[#This Row],[MonthlyIncome]],1000)</f>
        <v>5000</v>
      </c>
      <c r="T1103">
        <v>5878</v>
      </c>
      <c r="U1103">
        <v>15624</v>
      </c>
      <c r="V1103">
        <v>3</v>
      </c>
      <c r="W1103" t="s">
        <v>35</v>
      </c>
      <c r="X1103" t="s">
        <v>43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</row>
    <row r="1104" spans="1:36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f>FLOOR(Table1_2[[#This Row],[MonthlyIncome]],1000)</f>
        <v>2000</v>
      </c>
      <c r="T1104">
        <v>2644</v>
      </c>
      <c r="U1104">
        <v>17001</v>
      </c>
      <c r="V1104">
        <v>3</v>
      </c>
      <c r="W1104" t="s">
        <v>35</v>
      </c>
      <c r="X1104" t="s">
        <v>35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</row>
    <row r="1105" spans="1:36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f>FLOOR(Table1_2[[#This Row],[MonthlyIncome]],1000)</f>
        <v>6000</v>
      </c>
      <c r="T1105">
        <v>6439</v>
      </c>
      <c r="U1105">
        <v>13693</v>
      </c>
      <c r="V1105">
        <v>8</v>
      </c>
      <c r="W1105" t="s">
        <v>35</v>
      </c>
      <c r="X1105" t="s">
        <v>43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</row>
    <row r="1106" spans="1:36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f>FLOOR(Table1_2[[#This Row],[MonthlyIncome]],1000)</f>
        <v>2000</v>
      </c>
      <c r="T1106">
        <v>2451</v>
      </c>
      <c r="U1106">
        <v>22376</v>
      </c>
      <c r="V1106">
        <v>6</v>
      </c>
      <c r="W1106" t="s">
        <v>35</v>
      </c>
      <c r="X1106" t="s">
        <v>43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</row>
    <row r="1107" spans="1:36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f>FLOOR(Table1_2[[#This Row],[MonthlyIncome]],1000)</f>
        <v>6000</v>
      </c>
      <c r="T1107">
        <v>6392</v>
      </c>
      <c r="U1107">
        <v>10589</v>
      </c>
      <c r="V1107">
        <v>2</v>
      </c>
      <c r="W1107" t="s">
        <v>35</v>
      </c>
      <c r="X1107" t="s">
        <v>43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</row>
    <row r="1108" spans="1:36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f>FLOOR(Table1_2[[#This Row],[MonthlyIncome]],1000)</f>
        <v>9000</v>
      </c>
      <c r="T1108">
        <v>9714</v>
      </c>
      <c r="U1108">
        <v>5323</v>
      </c>
      <c r="V1108">
        <v>1</v>
      </c>
      <c r="W1108" t="s">
        <v>35</v>
      </c>
      <c r="X1108" t="s">
        <v>43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</row>
    <row r="1109" spans="1:36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f>FLOOR(Table1_2[[#This Row],[MonthlyIncome]],1000)</f>
        <v>6000</v>
      </c>
      <c r="T1109">
        <v>6077</v>
      </c>
      <c r="U1109">
        <v>14814</v>
      </c>
      <c r="V1109">
        <v>3</v>
      </c>
      <c r="W1109" t="s">
        <v>35</v>
      </c>
      <c r="X1109" t="s">
        <v>43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</row>
    <row r="1110" spans="1:36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f>FLOOR(Table1_2[[#This Row],[MonthlyIncome]],1000)</f>
        <v>2000</v>
      </c>
      <c r="T1110">
        <v>2450</v>
      </c>
      <c r="U1110">
        <v>21731</v>
      </c>
      <c r="V1110">
        <v>1</v>
      </c>
      <c r="W1110" t="s">
        <v>35</v>
      </c>
      <c r="X1110" t="s">
        <v>43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</row>
    <row r="1111" spans="1:36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f>FLOOR(Table1_2[[#This Row],[MonthlyIncome]],1000)</f>
        <v>9000</v>
      </c>
      <c r="T1111">
        <v>9250</v>
      </c>
      <c r="U1111">
        <v>17799</v>
      </c>
      <c r="V1111">
        <v>3</v>
      </c>
      <c r="W1111" t="s">
        <v>35</v>
      </c>
      <c r="X1111" t="s">
        <v>43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</row>
    <row r="1112" spans="1:36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f>FLOOR(Table1_2[[#This Row],[MonthlyIncome]],1000)</f>
        <v>2000</v>
      </c>
      <c r="T1112">
        <v>2074</v>
      </c>
      <c r="U1112">
        <v>26619</v>
      </c>
      <c r="V1112">
        <v>1</v>
      </c>
      <c r="W1112" t="s">
        <v>35</v>
      </c>
      <c r="X1112" t="s">
        <v>35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</row>
    <row r="1113" spans="1:36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f>FLOOR(Table1_2[[#This Row],[MonthlyIncome]],1000)</f>
        <v>10000</v>
      </c>
      <c r="T1113">
        <v>10169</v>
      </c>
      <c r="U1113">
        <v>14618</v>
      </c>
      <c r="V1113">
        <v>0</v>
      </c>
      <c r="W1113" t="s">
        <v>35</v>
      </c>
      <c r="X1113" t="s">
        <v>43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</row>
    <row r="1114" spans="1:36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f>FLOOR(Table1_2[[#This Row],[MonthlyIncome]],1000)</f>
        <v>4000</v>
      </c>
      <c r="T1114">
        <v>4855</v>
      </c>
      <c r="U1114">
        <v>7653</v>
      </c>
      <c r="V1114">
        <v>4</v>
      </c>
      <c r="W1114" t="s">
        <v>35</v>
      </c>
      <c r="X1114" t="s">
        <v>43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</row>
    <row r="1115" spans="1:36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f>FLOOR(Table1_2[[#This Row],[MonthlyIncome]],1000)</f>
        <v>4000</v>
      </c>
      <c r="T1115">
        <v>4087</v>
      </c>
      <c r="U1115">
        <v>25174</v>
      </c>
      <c r="V1115">
        <v>4</v>
      </c>
      <c r="W1115" t="s">
        <v>35</v>
      </c>
      <c r="X1115" t="s">
        <v>43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</row>
    <row r="1116" spans="1:36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f>FLOOR(Table1_2[[#This Row],[MonthlyIncome]],1000)</f>
        <v>2000</v>
      </c>
      <c r="T1116">
        <v>2367</v>
      </c>
      <c r="U1116">
        <v>16530</v>
      </c>
      <c r="V1116">
        <v>8</v>
      </c>
      <c r="W1116" t="s">
        <v>35</v>
      </c>
      <c r="X1116" t="s">
        <v>43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</row>
    <row r="1117" spans="1:36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f>FLOOR(Table1_2[[#This Row],[MonthlyIncome]],1000)</f>
        <v>2000</v>
      </c>
      <c r="T1117">
        <v>2972</v>
      </c>
      <c r="U1117">
        <v>22061</v>
      </c>
      <c r="V1117">
        <v>1</v>
      </c>
      <c r="W1117" t="s">
        <v>35</v>
      </c>
      <c r="X1117" t="s">
        <v>43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</row>
    <row r="1118" spans="1:36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f>FLOOR(Table1_2[[#This Row],[MonthlyIncome]],1000)</f>
        <v>19000</v>
      </c>
      <c r="T1118">
        <v>19586</v>
      </c>
      <c r="U1118">
        <v>23037</v>
      </c>
      <c r="V1118">
        <v>1</v>
      </c>
      <c r="W1118" t="s">
        <v>35</v>
      </c>
      <c r="X1118" t="s">
        <v>43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</row>
    <row r="1119" spans="1:36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f>FLOOR(Table1_2[[#This Row],[MonthlyIncome]],1000)</f>
        <v>5000</v>
      </c>
      <c r="T1119">
        <v>5484</v>
      </c>
      <c r="U1119">
        <v>13008</v>
      </c>
      <c r="V1119">
        <v>9</v>
      </c>
      <c r="W1119" t="s">
        <v>35</v>
      </c>
      <c r="X1119" t="s">
        <v>43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</row>
    <row r="1120" spans="1:36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f>FLOOR(Table1_2[[#This Row],[MonthlyIncome]],1000)</f>
        <v>2000</v>
      </c>
      <c r="T1120">
        <v>2061</v>
      </c>
      <c r="U1120">
        <v>11133</v>
      </c>
      <c r="V1120">
        <v>1</v>
      </c>
      <c r="W1120" t="s">
        <v>35</v>
      </c>
      <c r="X1120" t="s">
        <v>43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</row>
    <row r="1121" spans="1:36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f>FLOOR(Table1_2[[#This Row],[MonthlyIncome]],1000)</f>
        <v>9000</v>
      </c>
      <c r="T1121">
        <v>9924</v>
      </c>
      <c r="U1121">
        <v>12355</v>
      </c>
      <c r="V1121">
        <v>0</v>
      </c>
      <c r="W1121" t="s">
        <v>35</v>
      </c>
      <c r="X1121" t="s">
        <v>43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</row>
    <row r="1122" spans="1:36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f>FLOOR(Table1_2[[#This Row],[MonthlyIncome]],1000)</f>
        <v>4000</v>
      </c>
      <c r="T1122">
        <v>4198</v>
      </c>
      <c r="U1122">
        <v>16379</v>
      </c>
      <c r="V1122">
        <v>2</v>
      </c>
      <c r="W1122" t="s">
        <v>35</v>
      </c>
      <c r="X1122" t="s">
        <v>43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</row>
    <row r="1123" spans="1:36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f>FLOOR(Table1_2[[#This Row],[MonthlyIncome]],1000)</f>
        <v>6000</v>
      </c>
      <c r="T1123">
        <v>6815</v>
      </c>
      <c r="U1123">
        <v>21447</v>
      </c>
      <c r="V1123">
        <v>6</v>
      </c>
      <c r="W1123" t="s">
        <v>35</v>
      </c>
      <c r="X1123" t="s">
        <v>43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</row>
    <row r="1124" spans="1:36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f>FLOOR(Table1_2[[#This Row],[MonthlyIncome]],1000)</f>
        <v>4000</v>
      </c>
      <c r="T1124">
        <v>4723</v>
      </c>
      <c r="U1124">
        <v>16213</v>
      </c>
      <c r="V1124">
        <v>1</v>
      </c>
      <c r="W1124" t="s">
        <v>35</v>
      </c>
      <c r="X1124" t="s">
        <v>35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</row>
    <row r="1125" spans="1:36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f>FLOOR(Table1_2[[#This Row],[MonthlyIncome]],1000)</f>
        <v>6000</v>
      </c>
      <c r="T1125">
        <v>6142</v>
      </c>
      <c r="U1125">
        <v>4223</v>
      </c>
      <c r="V1125">
        <v>3</v>
      </c>
      <c r="W1125" t="s">
        <v>35</v>
      </c>
      <c r="X1125" t="s">
        <v>35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</row>
    <row r="1126" spans="1:36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f>FLOOR(Table1_2[[#This Row],[MonthlyIncome]],1000)</f>
        <v>8000</v>
      </c>
      <c r="T1126">
        <v>8237</v>
      </c>
      <c r="U1126">
        <v>4658</v>
      </c>
      <c r="V1126">
        <v>2</v>
      </c>
      <c r="W1126" t="s">
        <v>35</v>
      </c>
      <c r="X1126" t="s">
        <v>43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</row>
    <row r="1127" spans="1:36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f>FLOOR(Table1_2[[#This Row],[MonthlyIncome]],1000)</f>
        <v>8000</v>
      </c>
      <c r="T1127">
        <v>8853</v>
      </c>
      <c r="U1127">
        <v>24483</v>
      </c>
      <c r="V1127">
        <v>1</v>
      </c>
      <c r="W1127" t="s">
        <v>35</v>
      </c>
      <c r="X1127" t="s">
        <v>43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</row>
    <row r="1128" spans="1:36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f>FLOOR(Table1_2[[#This Row],[MonthlyIncome]],1000)</f>
        <v>19000</v>
      </c>
      <c r="T1128">
        <v>19331</v>
      </c>
      <c r="U1128">
        <v>19519</v>
      </c>
      <c r="V1128">
        <v>4</v>
      </c>
      <c r="W1128" t="s">
        <v>35</v>
      </c>
      <c r="X1128" t="s">
        <v>35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</row>
    <row r="1129" spans="1:36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f>FLOOR(Table1_2[[#This Row],[MonthlyIncome]],1000)</f>
        <v>2000</v>
      </c>
      <c r="T1129">
        <v>2073</v>
      </c>
      <c r="U1129">
        <v>12826</v>
      </c>
      <c r="V1129">
        <v>2</v>
      </c>
      <c r="W1129" t="s">
        <v>35</v>
      </c>
      <c r="X1129" t="s">
        <v>43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</row>
    <row r="1130" spans="1:36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f>FLOOR(Table1_2[[#This Row],[MonthlyIncome]],1000)</f>
        <v>5000</v>
      </c>
      <c r="T1130">
        <v>5562</v>
      </c>
      <c r="U1130">
        <v>19711</v>
      </c>
      <c r="V1130">
        <v>3</v>
      </c>
      <c r="W1130" t="s">
        <v>35</v>
      </c>
      <c r="X1130" t="s">
        <v>35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</row>
    <row r="1131" spans="1:36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f>FLOOR(Table1_2[[#This Row],[MonthlyIncome]],1000)</f>
        <v>19000</v>
      </c>
      <c r="T1131">
        <v>19613</v>
      </c>
      <c r="U1131">
        <v>26362</v>
      </c>
      <c r="V1131">
        <v>8</v>
      </c>
      <c r="W1131" t="s">
        <v>35</v>
      </c>
      <c r="X1131" t="s">
        <v>43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</row>
    <row r="1132" spans="1:36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f>FLOOR(Table1_2[[#This Row],[MonthlyIncome]],1000)</f>
        <v>3000</v>
      </c>
      <c r="T1132">
        <v>3407</v>
      </c>
      <c r="U1132">
        <v>25348</v>
      </c>
      <c r="V1132">
        <v>1</v>
      </c>
      <c r="W1132" t="s">
        <v>35</v>
      </c>
      <c r="X1132" t="s">
        <v>43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</row>
    <row r="1133" spans="1:36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f>FLOOR(Table1_2[[#This Row],[MonthlyIncome]],1000)</f>
        <v>5000</v>
      </c>
      <c r="T1133">
        <v>5063</v>
      </c>
      <c r="U1133">
        <v>15332</v>
      </c>
      <c r="V1133">
        <v>1</v>
      </c>
      <c r="W1133" t="s">
        <v>35</v>
      </c>
      <c r="X1133" t="s">
        <v>43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</row>
    <row r="1134" spans="1:36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f>FLOOR(Table1_2[[#This Row],[MonthlyIncome]],1000)</f>
        <v>4000</v>
      </c>
      <c r="T1134">
        <v>4639</v>
      </c>
      <c r="U1134">
        <v>11262</v>
      </c>
      <c r="V1134">
        <v>1</v>
      </c>
      <c r="W1134" t="s">
        <v>35</v>
      </c>
      <c r="X1134" t="s">
        <v>43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</row>
    <row r="1135" spans="1:36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f>FLOOR(Table1_2[[#This Row],[MonthlyIncome]],1000)</f>
        <v>4000</v>
      </c>
      <c r="T1135">
        <v>4876</v>
      </c>
      <c r="U1135">
        <v>5855</v>
      </c>
      <c r="V1135">
        <v>5</v>
      </c>
      <c r="W1135" t="s">
        <v>35</v>
      </c>
      <c r="X1135" t="s">
        <v>43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</row>
    <row r="1136" spans="1:36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f>FLOOR(Table1_2[[#This Row],[MonthlyIncome]],1000)</f>
        <v>2000</v>
      </c>
      <c r="T1136">
        <v>2690</v>
      </c>
      <c r="U1136">
        <v>7713</v>
      </c>
      <c r="V1136">
        <v>1</v>
      </c>
      <c r="W1136" t="s">
        <v>35</v>
      </c>
      <c r="X1136" t="s">
        <v>43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</row>
    <row r="1137" spans="1:36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f>FLOOR(Table1_2[[#This Row],[MonthlyIncome]],1000)</f>
        <v>17000</v>
      </c>
      <c r="T1137">
        <v>17567</v>
      </c>
      <c r="U1137">
        <v>3156</v>
      </c>
      <c r="V1137">
        <v>1</v>
      </c>
      <c r="W1137" t="s">
        <v>35</v>
      </c>
      <c r="X1137" t="s">
        <v>43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</row>
    <row r="1138" spans="1:36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f>FLOOR(Table1_2[[#This Row],[MonthlyIncome]],1000)</f>
        <v>2000</v>
      </c>
      <c r="T1138">
        <v>2408</v>
      </c>
      <c r="U1138">
        <v>7324</v>
      </c>
      <c r="V1138">
        <v>1</v>
      </c>
      <c r="W1138" t="s">
        <v>35</v>
      </c>
      <c r="X1138" t="s">
        <v>35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</row>
    <row r="1139" spans="1:36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f>FLOOR(Table1_2[[#This Row],[MonthlyIncome]],1000)</f>
        <v>2000</v>
      </c>
      <c r="T1139">
        <v>2814</v>
      </c>
      <c r="U1139">
        <v>10293</v>
      </c>
      <c r="V1139">
        <v>1</v>
      </c>
      <c r="W1139" t="s">
        <v>35</v>
      </c>
      <c r="X1139" t="s">
        <v>35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</row>
    <row r="1140" spans="1:36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f>FLOOR(Table1_2[[#This Row],[MonthlyIncome]],1000)</f>
        <v>11000</v>
      </c>
      <c r="T1140">
        <v>11245</v>
      </c>
      <c r="U1140">
        <v>20689</v>
      </c>
      <c r="V1140">
        <v>2</v>
      </c>
      <c r="W1140" t="s">
        <v>35</v>
      </c>
      <c r="X1140" t="s">
        <v>35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</row>
    <row r="1141" spans="1:36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f>FLOOR(Table1_2[[#This Row],[MonthlyIncome]],1000)</f>
        <v>3000</v>
      </c>
      <c r="T1141">
        <v>3312</v>
      </c>
      <c r="U1141">
        <v>18783</v>
      </c>
      <c r="V1141">
        <v>3</v>
      </c>
      <c r="W1141" t="s">
        <v>35</v>
      </c>
      <c r="X1141" t="s">
        <v>43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</row>
    <row r="1142" spans="1:36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f>FLOOR(Table1_2[[#This Row],[MonthlyIncome]],1000)</f>
        <v>19000</v>
      </c>
      <c r="T1142">
        <v>19049</v>
      </c>
      <c r="U1142">
        <v>3549</v>
      </c>
      <c r="V1142">
        <v>0</v>
      </c>
      <c r="W1142" t="s">
        <v>35</v>
      </c>
      <c r="X1142" t="s">
        <v>35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</row>
    <row r="1143" spans="1:36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f>FLOOR(Table1_2[[#This Row],[MonthlyIncome]],1000)</f>
        <v>2000</v>
      </c>
      <c r="T1143">
        <v>2141</v>
      </c>
      <c r="U1143">
        <v>5348</v>
      </c>
      <c r="V1143">
        <v>1</v>
      </c>
      <c r="W1143" t="s">
        <v>35</v>
      </c>
      <c r="X1143" t="s">
        <v>43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</row>
    <row r="1144" spans="1:36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f>FLOOR(Table1_2[[#This Row],[MonthlyIncome]],1000)</f>
        <v>5000</v>
      </c>
      <c r="T1144">
        <v>5769</v>
      </c>
      <c r="U1144">
        <v>23447</v>
      </c>
      <c r="V1144">
        <v>1</v>
      </c>
      <c r="W1144" t="s">
        <v>35</v>
      </c>
      <c r="X1144" t="s">
        <v>35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</row>
    <row r="1145" spans="1:36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f>FLOOR(Table1_2[[#This Row],[MonthlyIncome]],1000)</f>
        <v>4000</v>
      </c>
      <c r="T1145">
        <v>4385</v>
      </c>
      <c r="U1145">
        <v>24162</v>
      </c>
      <c r="V1145">
        <v>1</v>
      </c>
      <c r="W1145" t="s">
        <v>35</v>
      </c>
      <c r="X1145" t="s">
        <v>43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</row>
    <row r="1146" spans="1:36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f>FLOOR(Table1_2[[#This Row],[MonthlyIncome]],1000)</f>
        <v>5000</v>
      </c>
      <c r="T1146">
        <v>5332</v>
      </c>
      <c r="U1146">
        <v>21602</v>
      </c>
      <c r="V1146">
        <v>7</v>
      </c>
      <c r="W1146" t="s">
        <v>35</v>
      </c>
      <c r="X1146" t="s">
        <v>43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</row>
    <row r="1147" spans="1:36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f>FLOOR(Table1_2[[#This Row],[MonthlyIncome]],1000)</f>
        <v>4000</v>
      </c>
      <c r="T1147">
        <v>4663</v>
      </c>
      <c r="U1147">
        <v>12421</v>
      </c>
      <c r="V1147">
        <v>9</v>
      </c>
      <c r="W1147" t="s">
        <v>35</v>
      </c>
      <c r="X1147" t="s">
        <v>35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</row>
    <row r="1148" spans="1:36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f>FLOOR(Table1_2[[#This Row],[MonthlyIncome]],1000)</f>
        <v>4000</v>
      </c>
      <c r="T1148">
        <v>4724</v>
      </c>
      <c r="U1148">
        <v>17000</v>
      </c>
      <c r="V1148">
        <v>1</v>
      </c>
      <c r="W1148" t="s">
        <v>35</v>
      </c>
      <c r="X1148" t="s">
        <v>43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</row>
    <row r="1149" spans="1:36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f>FLOOR(Table1_2[[#This Row],[MonthlyIncome]],1000)</f>
        <v>3000</v>
      </c>
      <c r="T1149">
        <v>3211</v>
      </c>
      <c r="U1149">
        <v>22102</v>
      </c>
      <c r="V1149">
        <v>1</v>
      </c>
      <c r="W1149" t="s">
        <v>35</v>
      </c>
      <c r="X1149" t="s">
        <v>43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</row>
    <row r="1150" spans="1:36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f>FLOOR(Table1_2[[#This Row],[MonthlyIncome]],1000)</f>
        <v>5000</v>
      </c>
      <c r="T1150">
        <v>5377</v>
      </c>
      <c r="U1150">
        <v>3835</v>
      </c>
      <c r="V1150">
        <v>2</v>
      </c>
      <c r="W1150" t="s">
        <v>35</v>
      </c>
      <c r="X1150" t="s">
        <v>43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</row>
    <row r="1151" spans="1:36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f>FLOOR(Table1_2[[#This Row],[MonthlyIncome]],1000)</f>
        <v>4000</v>
      </c>
      <c r="T1151">
        <v>4066</v>
      </c>
      <c r="U1151">
        <v>16290</v>
      </c>
      <c r="V1151">
        <v>1</v>
      </c>
      <c r="W1151" t="s">
        <v>35</v>
      </c>
      <c r="X1151" t="s">
        <v>43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</row>
    <row r="1152" spans="1:36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f>FLOOR(Table1_2[[#This Row],[MonthlyIncome]],1000)</f>
        <v>5000</v>
      </c>
      <c r="T1152">
        <v>5208</v>
      </c>
      <c r="U1152">
        <v>26312</v>
      </c>
      <c r="V1152">
        <v>1</v>
      </c>
      <c r="W1152" t="s">
        <v>35</v>
      </c>
      <c r="X1152" t="s">
        <v>43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</row>
    <row r="1153" spans="1:36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f>FLOOR(Table1_2[[#This Row],[MonthlyIncome]],1000)</f>
        <v>4000</v>
      </c>
      <c r="T1153">
        <v>4877</v>
      </c>
      <c r="U1153">
        <v>20460</v>
      </c>
      <c r="V1153">
        <v>0</v>
      </c>
      <c r="W1153" t="s">
        <v>35</v>
      </c>
      <c r="X1153" t="s">
        <v>43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</row>
    <row r="1154" spans="1:36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f>FLOOR(Table1_2[[#This Row],[MonthlyIncome]],1000)</f>
        <v>3000</v>
      </c>
      <c r="T1154">
        <v>3117</v>
      </c>
      <c r="U1154">
        <v>26009</v>
      </c>
      <c r="V1154">
        <v>1</v>
      </c>
      <c r="W1154" t="s">
        <v>35</v>
      </c>
      <c r="X1154" t="s">
        <v>43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</row>
    <row r="1155" spans="1:36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f>FLOOR(Table1_2[[#This Row],[MonthlyIncome]],1000)</f>
        <v>1000</v>
      </c>
      <c r="T1155">
        <v>1569</v>
      </c>
      <c r="U1155">
        <v>18420</v>
      </c>
      <c r="V1155">
        <v>1</v>
      </c>
      <c r="W1155" t="s">
        <v>35</v>
      </c>
      <c r="X1155" t="s">
        <v>35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</row>
    <row r="1156" spans="1:36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f>FLOOR(Table1_2[[#This Row],[MonthlyIncome]],1000)</f>
        <v>19000</v>
      </c>
      <c r="T1156">
        <v>19658</v>
      </c>
      <c r="U1156">
        <v>5220</v>
      </c>
      <c r="V1156">
        <v>3</v>
      </c>
      <c r="W1156" t="s">
        <v>35</v>
      </c>
      <c r="X1156" t="s">
        <v>43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</row>
    <row r="1157" spans="1:36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f>FLOOR(Table1_2[[#This Row],[MonthlyIncome]],1000)</f>
        <v>3000</v>
      </c>
      <c r="T1157">
        <v>3069</v>
      </c>
      <c r="U1157">
        <v>10302</v>
      </c>
      <c r="V1157">
        <v>0</v>
      </c>
      <c r="W1157" t="s">
        <v>35</v>
      </c>
      <c r="X1157" t="s">
        <v>43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</row>
    <row r="1158" spans="1:36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f>FLOOR(Table1_2[[#This Row],[MonthlyIncome]],1000)</f>
        <v>10000</v>
      </c>
      <c r="T1158">
        <v>10435</v>
      </c>
      <c r="U1158">
        <v>25800</v>
      </c>
      <c r="V1158">
        <v>1</v>
      </c>
      <c r="W1158" t="s">
        <v>35</v>
      </c>
      <c r="X1158" t="s">
        <v>43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</row>
    <row r="1159" spans="1:36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f>FLOOR(Table1_2[[#This Row],[MonthlyIncome]],1000)</f>
        <v>4000</v>
      </c>
      <c r="T1159">
        <v>4148</v>
      </c>
      <c r="U1159">
        <v>12250</v>
      </c>
      <c r="V1159">
        <v>1</v>
      </c>
      <c r="W1159" t="s">
        <v>35</v>
      </c>
      <c r="X1159" t="s">
        <v>43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</row>
    <row r="1160" spans="1:36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f>FLOOR(Table1_2[[#This Row],[MonthlyIncome]],1000)</f>
        <v>5000</v>
      </c>
      <c r="T1160">
        <v>5768</v>
      </c>
      <c r="U1160">
        <v>26493</v>
      </c>
      <c r="V1160">
        <v>3</v>
      </c>
      <c r="W1160" t="s">
        <v>35</v>
      </c>
      <c r="X1160" t="s">
        <v>43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</row>
    <row r="1161" spans="1:36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f>FLOOR(Table1_2[[#This Row],[MonthlyIncome]],1000)</f>
        <v>5000</v>
      </c>
      <c r="T1161">
        <v>5042</v>
      </c>
      <c r="U1161">
        <v>3140</v>
      </c>
      <c r="V1161">
        <v>0</v>
      </c>
      <c r="W1161" t="s">
        <v>35</v>
      </c>
      <c r="X1161" t="s">
        <v>43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</row>
    <row r="1162" spans="1:36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f>FLOOR(Table1_2[[#This Row],[MonthlyIncome]],1000)</f>
        <v>5000</v>
      </c>
      <c r="T1162">
        <v>5770</v>
      </c>
      <c r="U1162">
        <v>5388</v>
      </c>
      <c r="V1162">
        <v>1</v>
      </c>
      <c r="W1162" t="s">
        <v>35</v>
      </c>
      <c r="X1162" t="s">
        <v>43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</row>
    <row r="1163" spans="1:36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f>FLOOR(Table1_2[[#This Row],[MonthlyIncome]],1000)</f>
        <v>7000</v>
      </c>
      <c r="T1163">
        <v>7756</v>
      </c>
      <c r="U1163">
        <v>14199</v>
      </c>
      <c r="V1163">
        <v>3</v>
      </c>
      <c r="W1163" t="s">
        <v>35</v>
      </c>
      <c r="X1163" t="s">
        <v>35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</row>
    <row r="1164" spans="1:36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f>FLOOR(Table1_2[[#This Row],[MonthlyIncome]],1000)</f>
        <v>10000</v>
      </c>
      <c r="T1164">
        <v>10306</v>
      </c>
      <c r="U1164">
        <v>21530</v>
      </c>
      <c r="V1164">
        <v>9</v>
      </c>
      <c r="W1164" t="s">
        <v>35</v>
      </c>
      <c r="X1164" t="s">
        <v>43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</row>
    <row r="1165" spans="1:36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f>FLOOR(Table1_2[[#This Row],[MonthlyIncome]],1000)</f>
        <v>3000</v>
      </c>
      <c r="T1165">
        <v>3936</v>
      </c>
      <c r="U1165">
        <v>9953</v>
      </c>
      <c r="V1165">
        <v>1</v>
      </c>
      <c r="W1165" t="s">
        <v>35</v>
      </c>
      <c r="X1165" t="s">
        <v>43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</row>
    <row r="1166" spans="1:36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f>FLOOR(Table1_2[[#This Row],[MonthlyIncome]],1000)</f>
        <v>7000</v>
      </c>
      <c r="T1166">
        <v>7945</v>
      </c>
      <c r="U1166">
        <v>19948</v>
      </c>
      <c r="V1166">
        <v>6</v>
      </c>
      <c r="W1166" t="s">
        <v>35</v>
      </c>
      <c r="X1166" t="s">
        <v>35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</row>
    <row r="1167" spans="1:36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f>FLOOR(Table1_2[[#This Row],[MonthlyIncome]],1000)</f>
        <v>5000</v>
      </c>
      <c r="T1167">
        <v>5743</v>
      </c>
      <c r="U1167">
        <v>10503</v>
      </c>
      <c r="V1167">
        <v>4</v>
      </c>
      <c r="W1167" t="s">
        <v>35</v>
      </c>
      <c r="X1167" t="s">
        <v>35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</row>
    <row r="1168" spans="1:36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f>FLOOR(Table1_2[[#This Row],[MonthlyIncome]],1000)</f>
        <v>15000</v>
      </c>
      <c r="T1168">
        <v>15202</v>
      </c>
      <c r="U1168">
        <v>5602</v>
      </c>
      <c r="V1168">
        <v>2</v>
      </c>
      <c r="W1168" t="s">
        <v>35</v>
      </c>
      <c r="X1168" t="s">
        <v>43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</row>
    <row r="1169" spans="1:36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f>FLOOR(Table1_2[[#This Row],[MonthlyIncome]],1000)</f>
        <v>5000</v>
      </c>
      <c r="T1169">
        <v>5440</v>
      </c>
      <c r="U1169">
        <v>22098</v>
      </c>
      <c r="V1169">
        <v>6</v>
      </c>
      <c r="W1169" t="s">
        <v>35</v>
      </c>
      <c r="X1169" t="s">
        <v>35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</row>
    <row r="1170" spans="1:36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f>FLOOR(Table1_2[[#This Row],[MonthlyIncome]],1000)</f>
        <v>3000</v>
      </c>
      <c r="T1170">
        <v>3760</v>
      </c>
      <c r="U1170">
        <v>17218</v>
      </c>
      <c r="V1170">
        <v>1</v>
      </c>
      <c r="W1170" t="s">
        <v>35</v>
      </c>
      <c r="X1170" t="s">
        <v>35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</row>
    <row r="1171" spans="1:36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f>FLOOR(Table1_2[[#This Row],[MonthlyIncome]],1000)</f>
        <v>3000</v>
      </c>
      <c r="T1171">
        <v>3517</v>
      </c>
      <c r="U1171">
        <v>22490</v>
      </c>
      <c r="V1171">
        <v>7</v>
      </c>
      <c r="W1171" t="s">
        <v>35</v>
      </c>
      <c r="X1171" t="s">
        <v>43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</row>
    <row r="1172" spans="1:36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f>FLOOR(Table1_2[[#This Row],[MonthlyIncome]],1000)</f>
        <v>2000</v>
      </c>
      <c r="T1172">
        <v>2580</v>
      </c>
      <c r="U1172">
        <v>6297</v>
      </c>
      <c r="V1172">
        <v>2</v>
      </c>
      <c r="W1172" t="s">
        <v>35</v>
      </c>
      <c r="X1172" t="s">
        <v>43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</row>
    <row r="1173" spans="1:36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f>FLOOR(Table1_2[[#This Row],[MonthlyIncome]],1000)</f>
        <v>2000</v>
      </c>
      <c r="T1173">
        <v>2166</v>
      </c>
      <c r="U1173">
        <v>3339</v>
      </c>
      <c r="V1173">
        <v>3</v>
      </c>
      <c r="W1173" t="s">
        <v>35</v>
      </c>
      <c r="X1173" t="s">
        <v>35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</row>
    <row r="1174" spans="1:36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f>FLOOR(Table1_2[[#This Row],[MonthlyIncome]],1000)</f>
        <v>5000</v>
      </c>
      <c r="T1174">
        <v>5869</v>
      </c>
      <c r="U1174">
        <v>23413</v>
      </c>
      <c r="V1174">
        <v>9</v>
      </c>
      <c r="W1174" t="s">
        <v>35</v>
      </c>
      <c r="X1174" t="s">
        <v>43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</row>
    <row r="1175" spans="1:36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f>FLOOR(Table1_2[[#This Row],[MonthlyIncome]],1000)</f>
        <v>8000</v>
      </c>
      <c r="T1175">
        <v>8008</v>
      </c>
      <c r="U1175">
        <v>22792</v>
      </c>
      <c r="V1175">
        <v>4</v>
      </c>
      <c r="W1175" t="s">
        <v>35</v>
      </c>
      <c r="X1175" t="s">
        <v>43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</row>
    <row r="1176" spans="1:36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f>FLOOR(Table1_2[[#This Row],[MonthlyIncome]],1000)</f>
        <v>5000</v>
      </c>
      <c r="T1176">
        <v>5206</v>
      </c>
      <c r="U1176">
        <v>4973</v>
      </c>
      <c r="V1176">
        <v>1</v>
      </c>
      <c r="W1176" t="s">
        <v>35</v>
      </c>
      <c r="X1176" t="s">
        <v>43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</row>
    <row r="1177" spans="1:36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f>FLOOR(Table1_2[[#This Row],[MonthlyIncome]],1000)</f>
        <v>5000</v>
      </c>
      <c r="T1177">
        <v>5295</v>
      </c>
      <c r="U1177">
        <v>7693</v>
      </c>
      <c r="V1177">
        <v>4</v>
      </c>
      <c r="W1177" t="s">
        <v>35</v>
      </c>
      <c r="X1177" t="s">
        <v>43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</row>
    <row r="1178" spans="1:36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f>FLOOR(Table1_2[[#This Row],[MonthlyIncome]],1000)</f>
        <v>16000</v>
      </c>
      <c r="T1178">
        <v>16413</v>
      </c>
      <c r="U1178">
        <v>3498</v>
      </c>
      <c r="V1178">
        <v>3</v>
      </c>
      <c r="W1178" t="s">
        <v>35</v>
      </c>
      <c r="X1178" t="s">
        <v>43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</row>
    <row r="1179" spans="1:36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f>FLOOR(Table1_2[[#This Row],[MonthlyIncome]],1000)</f>
        <v>13000</v>
      </c>
      <c r="T1179">
        <v>13269</v>
      </c>
      <c r="U1179">
        <v>21981</v>
      </c>
      <c r="V1179">
        <v>5</v>
      </c>
      <c r="W1179" t="s">
        <v>35</v>
      </c>
      <c r="X1179" t="s">
        <v>43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</row>
    <row r="1180" spans="1:36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f>FLOOR(Table1_2[[#This Row],[MonthlyIncome]],1000)</f>
        <v>2000</v>
      </c>
      <c r="T1180">
        <v>2783</v>
      </c>
      <c r="U1180">
        <v>13251</v>
      </c>
      <c r="V1180">
        <v>1</v>
      </c>
      <c r="W1180" t="s">
        <v>35</v>
      </c>
      <c r="X1180" t="s">
        <v>43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</row>
    <row r="1181" spans="1:36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f>FLOOR(Table1_2[[#This Row],[MonthlyIncome]],1000)</f>
        <v>5000</v>
      </c>
      <c r="T1181">
        <v>5433</v>
      </c>
      <c r="U1181">
        <v>19332</v>
      </c>
      <c r="V1181">
        <v>1</v>
      </c>
      <c r="W1181" t="s">
        <v>35</v>
      </c>
      <c r="X1181" t="s">
        <v>43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</row>
    <row r="1182" spans="1:36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f>FLOOR(Table1_2[[#This Row],[MonthlyIncome]],1000)</f>
        <v>2000</v>
      </c>
      <c r="T1182">
        <v>2013</v>
      </c>
      <c r="U1182">
        <v>10950</v>
      </c>
      <c r="V1182">
        <v>2</v>
      </c>
      <c r="W1182" t="s">
        <v>35</v>
      </c>
      <c r="X1182" t="s">
        <v>43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</row>
    <row r="1183" spans="1:36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f>FLOOR(Table1_2[[#This Row],[MonthlyIncome]],1000)</f>
        <v>13000</v>
      </c>
      <c r="T1183">
        <v>13966</v>
      </c>
      <c r="U1183">
        <v>11652</v>
      </c>
      <c r="V1183">
        <v>2</v>
      </c>
      <c r="W1183" t="s">
        <v>35</v>
      </c>
      <c r="X1183" t="s">
        <v>35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</row>
    <row r="1184" spans="1:36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f>FLOOR(Table1_2[[#This Row],[MonthlyIncome]],1000)</f>
        <v>4000</v>
      </c>
      <c r="T1184">
        <v>4374</v>
      </c>
      <c r="U1184">
        <v>15411</v>
      </c>
      <c r="V1184">
        <v>0</v>
      </c>
      <c r="W1184" t="s">
        <v>35</v>
      </c>
      <c r="X1184" t="s">
        <v>43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</row>
    <row r="1185" spans="1:36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f>FLOOR(Table1_2[[#This Row],[MonthlyIncome]],1000)</f>
        <v>6000</v>
      </c>
      <c r="T1185">
        <v>6842</v>
      </c>
      <c r="U1185">
        <v>26308</v>
      </c>
      <c r="V1185">
        <v>6</v>
      </c>
      <c r="W1185" t="s">
        <v>35</v>
      </c>
      <c r="X1185" t="s">
        <v>43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</row>
    <row r="1186" spans="1:36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f>FLOOR(Table1_2[[#This Row],[MonthlyIncome]],1000)</f>
        <v>17000</v>
      </c>
      <c r="T1186">
        <v>17426</v>
      </c>
      <c r="U1186">
        <v>18685</v>
      </c>
      <c r="V1186">
        <v>3</v>
      </c>
      <c r="W1186" t="s">
        <v>35</v>
      </c>
      <c r="X1186" t="s">
        <v>43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</row>
    <row r="1187" spans="1:36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f>FLOOR(Table1_2[[#This Row],[MonthlyIncome]],1000)</f>
        <v>17000</v>
      </c>
      <c r="T1187">
        <v>17603</v>
      </c>
      <c r="U1187">
        <v>3525</v>
      </c>
      <c r="V1187">
        <v>1</v>
      </c>
      <c r="W1187" t="s">
        <v>35</v>
      </c>
      <c r="X1187" t="s">
        <v>43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</row>
    <row r="1188" spans="1:36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f>FLOOR(Table1_2[[#This Row],[MonthlyIncome]],1000)</f>
        <v>4000</v>
      </c>
      <c r="T1188">
        <v>4581</v>
      </c>
      <c r="U1188">
        <v>10414</v>
      </c>
      <c r="V1188">
        <v>3</v>
      </c>
      <c r="W1188" t="s">
        <v>35</v>
      </c>
      <c r="X1188" t="s">
        <v>35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</row>
    <row r="1189" spans="1:36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f>FLOOR(Table1_2[[#This Row],[MonthlyIncome]],1000)</f>
        <v>4000</v>
      </c>
      <c r="T1189">
        <v>4735</v>
      </c>
      <c r="U1189">
        <v>9867</v>
      </c>
      <c r="V1189">
        <v>7</v>
      </c>
      <c r="W1189" t="s">
        <v>35</v>
      </c>
      <c r="X1189" t="s">
        <v>43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</row>
    <row r="1190" spans="1:36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f>FLOOR(Table1_2[[#This Row],[MonthlyIncome]],1000)</f>
        <v>4000</v>
      </c>
      <c r="T1190">
        <v>4187</v>
      </c>
      <c r="U1190">
        <v>3356</v>
      </c>
      <c r="V1190">
        <v>1</v>
      </c>
      <c r="W1190" t="s">
        <v>35</v>
      </c>
      <c r="X1190" t="s">
        <v>35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</row>
    <row r="1191" spans="1:36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f>FLOOR(Table1_2[[#This Row],[MonthlyIncome]],1000)</f>
        <v>5000</v>
      </c>
      <c r="T1191">
        <v>5505</v>
      </c>
      <c r="U1191">
        <v>3921</v>
      </c>
      <c r="V1191">
        <v>1</v>
      </c>
      <c r="W1191" t="s">
        <v>35</v>
      </c>
      <c r="X1191" t="s">
        <v>43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</row>
    <row r="1192" spans="1:36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f>FLOOR(Table1_2[[#This Row],[MonthlyIncome]],1000)</f>
        <v>5000</v>
      </c>
      <c r="T1192">
        <v>5470</v>
      </c>
      <c r="U1192">
        <v>25518</v>
      </c>
      <c r="V1192">
        <v>0</v>
      </c>
      <c r="W1192" t="s">
        <v>35</v>
      </c>
      <c r="X1192" t="s">
        <v>43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</row>
    <row r="1193" spans="1:36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f>FLOOR(Table1_2[[#This Row],[MonthlyIncome]],1000)</f>
        <v>5000</v>
      </c>
      <c r="T1193">
        <v>5476</v>
      </c>
      <c r="U1193">
        <v>22589</v>
      </c>
      <c r="V1193">
        <v>1</v>
      </c>
      <c r="W1193" t="s">
        <v>35</v>
      </c>
      <c r="X1193" t="s">
        <v>43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</row>
    <row r="1194" spans="1:36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f>FLOOR(Table1_2[[#This Row],[MonthlyIncome]],1000)</f>
        <v>2000</v>
      </c>
      <c r="T1194">
        <v>2587</v>
      </c>
      <c r="U1194">
        <v>24941</v>
      </c>
      <c r="V1194">
        <v>4</v>
      </c>
      <c r="W1194" t="s">
        <v>35</v>
      </c>
      <c r="X1194" t="s">
        <v>35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</row>
    <row r="1195" spans="1:36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f>FLOOR(Table1_2[[#This Row],[MonthlyIncome]],1000)</f>
        <v>2000</v>
      </c>
      <c r="T1195">
        <v>2440</v>
      </c>
      <c r="U1195">
        <v>23826</v>
      </c>
      <c r="V1195">
        <v>1</v>
      </c>
      <c r="W1195" t="s">
        <v>35</v>
      </c>
      <c r="X1195" t="s">
        <v>43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</row>
    <row r="1196" spans="1:36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f>FLOOR(Table1_2[[#This Row],[MonthlyIncome]],1000)</f>
        <v>15000</v>
      </c>
      <c r="T1196">
        <v>15972</v>
      </c>
      <c r="U1196">
        <v>21086</v>
      </c>
      <c r="V1196">
        <v>6</v>
      </c>
      <c r="W1196" t="s">
        <v>35</v>
      </c>
      <c r="X1196" t="s">
        <v>43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</row>
    <row r="1197" spans="1:36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f>FLOOR(Table1_2[[#This Row],[MonthlyIncome]],1000)</f>
        <v>15000</v>
      </c>
      <c r="T1197">
        <v>15379</v>
      </c>
      <c r="U1197">
        <v>22384</v>
      </c>
      <c r="V1197">
        <v>4</v>
      </c>
      <c r="W1197" t="s">
        <v>35</v>
      </c>
      <c r="X1197" t="s">
        <v>43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</row>
    <row r="1198" spans="1:36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f>FLOOR(Table1_2[[#This Row],[MonthlyIncome]],1000)</f>
        <v>7000</v>
      </c>
      <c r="T1198">
        <v>7082</v>
      </c>
      <c r="U1198">
        <v>11591</v>
      </c>
      <c r="V1198">
        <v>3</v>
      </c>
      <c r="W1198" t="s">
        <v>35</v>
      </c>
      <c r="X1198" t="s">
        <v>35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</row>
    <row r="1199" spans="1:36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f>FLOOR(Table1_2[[#This Row],[MonthlyIncome]],1000)</f>
        <v>2000</v>
      </c>
      <c r="T1199">
        <v>2728</v>
      </c>
      <c r="U1199">
        <v>21082</v>
      </c>
      <c r="V1199">
        <v>1</v>
      </c>
      <c r="W1199" t="s">
        <v>35</v>
      </c>
      <c r="X1199" t="s">
        <v>43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</row>
    <row r="1200" spans="1:36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f>FLOOR(Table1_2[[#This Row],[MonthlyIncome]],1000)</f>
        <v>5000</v>
      </c>
      <c r="T1200">
        <v>5368</v>
      </c>
      <c r="U1200">
        <v>16130</v>
      </c>
      <c r="V1200">
        <v>1</v>
      </c>
      <c r="W1200" t="s">
        <v>35</v>
      </c>
      <c r="X1200" t="s">
        <v>35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</row>
    <row r="1201" spans="1:36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f>FLOOR(Table1_2[[#This Row],[MonthlyIncome]],1000)</f>
        <v>5000</v>
      </c>
      <c r="T1201">
        <v>5347</v>
      </c>
      <c r="U1201">
        <v>7419</v>
      </c>
      <c r="V1201">
        <v>6</v>
      </c>
      <c r="W1201" t="s">
        <v>35</v>
      </c>
      <c r="X1201" t="s">
        <v>43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</row>
    <row r="1202" spans="1:36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f>FLOOR(Table1_2[[#This Row],[MonthlyIncome]],1000)</f>
        <v>3000</v>
      </c>
      <c r="T1202">
        <v>3195</v>
      </c>
      <c r="U1202">
        <v>4167</v>
      </c>
      <c r="V1202">
        <v>4</v>
      </c>
      <c r="W1202" t="s">
        <v>35</v>
      </c>
      <c r="X1202" t="s">
        <v>35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</row>
    <row r="1203" spans="1:36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f>FLOOR(Table1_2[[#This Row],[MonthlyIncome]],1000)</f>
        <v>3000</v>
      </c>
      <c r="T1203">
        <v>3989</v>
      </c>
      <c r="U1203">
        <v>20586</v>
      </c>
      <c r="V1203">
        <v>1</v>
      </c>
      <c r="W1203" t="s">
        <v>35</v>
      </c>
      <c r="X1203" t="s">
        <v>35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</row>
    <row r="1204" spans="1:36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f>FLOOR(Table1_2[[#This Row],[MonthlyIncome]],1000)</f>
        <v>3000</v>
      </c>
      <c r="T1204">
        <v>3306</v>
      </c>
      <c r="U1204">
        <v>26176</v>
      </c>
      <c r="V1204">
        <v>7</v>
      </c>
      <c r="W1204" t="s">
        <v>35</v>
      </c>
      <c r="X1204" t="s">
        <v>43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</row>
    <row r="1205" spans="1:36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f>FLOOR(Table1_2[[#This Row],[MonthlyIncome]],1000)</f>
        <v>7000</v>
      </c>
      <c r="T1205">
        <v>7005</v>
      </c>
      <c r="U1205">
        <v>3458</v>
      </c>
      <c r="V1205">
        <v>3</v>
      </c>
      <c r="W1205" t="s">
        <v>35</v>
      </c>
      <c r="X1205" t="s">
        <v>43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</row>
    <row r="1206" spans="1:36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f>FLOOR(Table1_2[[#This Row],[MonthlyIncome]],1000)</f>
        <v>2000</v>
      </c>
      <c r="T1206">
        <v>2655</v>
      </c>
      <c r="U1206">
        <v>11740</v>
      </c>
      <c r="V1206">
        <v>2</v>
      </c>
      <c r="W1206" t="s">
        <v>35</v>
      </c>
      <c r="X1206" t="s">
        <v>35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</row>
    <row r="1207" spans="1:36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f>FLOOR(Table1_2[[#This Row],[MonthlyIncome]],1000)</f>
        <v>1000</v>
      </c>
      <c r="T1207">
        <v>1393</v>
      </c>
      <c r="U1207">
        <v>24852</v>
      </c>
      <c r="V1207">
        <v>1</v>
      </c>
      <c r="W1207" t="s">
        <v>35</v>
      </c>
      <c r="X1207" t="s">
        <v>43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</row>
    <row r="1208" spans="1:36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f>FLOOR(Table1_2[[#This Row],[MonthlyIncome]],1000)</f>
        <v>2000</v>
      </c>
      <c r="T1208">
        <v>2570</v>
      </c>
      <c r="U1208">
        <v>11925</v>
      </c>
      <c r="V1208">
        <v>1</v>
      </c>
      <c r="W1208" t="s">
        <v>35</v>
      </c>
      <c r="X1208" t="s">
        <v>43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</row>
    <row r="1209" spans="1:36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f>FLOOR(Table1_2[[#This Row],[MonthlyIncome]],1000)</f>
        <v>3000</v>
      </c>
      <c r="T1209">
        <v>3537</v>
      </c>
      <c r="U1209">
        <v>23737</v>
      </c>
      <c r="V1209">
        <v>5</v>
      </c>
      <c r="W1209" t="s">
        <v>35</v>
      </c>
      <c r="X1209" t="s">
        <v>43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</row>
    <row r="1210" spans="1:36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f>FLOOR(Table1_2[[#This Row],[MonthlyIncome]],1000)</f>
        <v>3000</v>
      </c>
      <c r="T1210">
        <v>3986</v>
      </c>
      <c r="U1210">
        <v>11912</v>
      </c>
      <c r="V1210">
        <v>1</v>
      </c>
      <c r="W1210" t="s">
        <v>35</v>
      </c>
      <c r="X1210" t="s">
        <v>43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</row>
    <row r="1211" spans="1:36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f>FLOOR(Table1_2[[#This Row],[MonthlyIncome]],1000)</f>
        <v>10000</v>
      </c>
      <c r="T1211">
        <v>10883</v>
      </c>
      <c r="U1211">
        <v>20467</v>
      </c>
      <c r="V1211">
        <v>3</v>
      </c>
      <c r="W1211" t="s">
        <v>35</v>
      </c>
      <c r="X1211" t="s">
        <v>43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</row>
    <row r="1212" spans="1:36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f>FLOOR(Table1_2[[#This Row],[MonthlyIncome]],1000)</f>
        <v>2000</v>
      </c>
      <c r="T1212">
        <v>2028</v>
      </c>
      <c r="U1212">
        <v>13637</v>
      </c>
      <c r="V1212">
        <v>1</v>
      </c>
      <c r="W1212" t="s">
        <v>35</v>
      </c>
      <c r="X1212" t="s">
        <v>43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</row>
    <row r="1213" spans="1:36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f>FLOOR(Table1_2[[#This Row],[MonthlyIncome]],1000)</f>
        <v>9000</v>
      </c>
      <c r="T1213">
        <v>9525</v>
      </c>
      <c r="U1213">
        <v>7677</v>
      </c>
      <c r="V1213">
        <v>1</v>
      </c>
      <c r="W1213" t="s">
        <v>35</v>
      </c>
      <c r="X1213" t="s">
        <v>43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</row>
    <row r="1214" spans="1:36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f>FLOOR(Table1_2[[#This Row],[MonthlyIncome]],1000)</f>
        <v>2000</v>
      </c>
      <c r="T1214">
        <v>2929</v>
      </c>
      <c r="U1214">
        <v>20338</v>
      </c>
      <c r="V1214">
        <v>1</v>
      </c>
      <c r="W1214" t="s">
        <v>35</v>
      </c>
      <c r="X1214" t="s">
        <v>43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</row>
    <row r="1215" spans="1:36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f>FLOOR(Table1_2[[#This Row],[MonthlyIncome]],1000)</f>
        <v>2000</v>
      </c>
      <c r="T1215">
        <v>2275</v>
      </c>
      <c r="U1215">
        <v>25103</v>
      </c>
      <c r="V1215">
        <v>1</v>
      </c>
      <c r="W1215" t="s">
        <v>35</v>
      </c>
      <c r="X1215" t="s">
        <v>35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</row>
    <row r="1216" spans="1:36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f>FLOOR(Table1_2[[#This Row],[MonthlyIncome]],1000)</f>
        <v>7000</v>
      </c>
      <c r="T1216">
        <v>7879</v>
      </c>
      <c r="U1216">
        <v>14810</v>
      </c>
      <c r="V1216">
        <v>1</v>
      </c>
      <c r="W1216" t="s">
        <v>35</v>
      </c>
      <c r="X1216" t="s">
        <v>35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</row>
    <row r="1217" spans="1:36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f>FLOOR(Table1_2[[#This Row],[MonthlyIncome]],1000)</f>
        <v>4000</v>
      </c>
      <c r="T1217">
        <v>4930</v>
      </c>
      <c r="U1217">
        <v>13970</v>
      </c>
      <c r="V1217">
        <v>0</v>
      </c>
      <c r="W1217" t="s">
        <v>35</v>
      </c>
      <c r="X1217" t="s">
        <v>35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</row>
    <row r="1218" spans="1:36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f>FLOOR(Table1_2[[#This Row],[MonthlyIncome]],1000)</f>
        <v>7000</v>
      </c>
      <c r="T1218">
        <v>7847</v>
      </c>
      <c r="U1218">
        <v>6069</v>
      </c>
      <c r="V1218">
        <v>1</v>
      </c>
      <c r="W1218" t="s">
        <v>35</v>
      </c>
      <c r="X1218" t="s">
        <v>35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</row>
    <row r="1219" spans="1:36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f>FLOOR(Table1_2[[#This Row],[MonthlyIncome]],1000)</f>
        <v>4000</v>
      </c>
      <c r="T1219">
        <v>4401</v>
      </c>
      <c r="U1219">
        <v>17616</v>
      </c>
      <c r="V1219">
        <v>1</v>
      </c>
      <c r="W1219" t="s">
        <v>35</v>
      </c>
      <c r="X1219" t="s">
        <v>43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</row>
    <row r="1220" spans="1:36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f>FLOOR(Table1_2[[#This Row],[MonthlyIncome]],1000)</f>
        <v>9000</v>
      </c>
      <c r="T1220">
        <v>9241</v>
      </c>
      <c r="U1220">
        <v>15869</v>
      </c>
      <c r="V1220">
        <v>1</v>
      </c>
      <c r="W1220" t="s">
        <v>35</v>
      </c>
      <c r="X1220" t="s">
        <v>43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</row>
    <row r="1221" spans="1:36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f>FLOOR(Table1_2[[#This Row],[MonthlyIncome]],1000)</f>
        <v>2000</v>
      </c>
      <c r="T1221">
        <v>2974</v>
      </c>
      <c r="U1221">
        <v>25412</v>
      </c>
      <c r="V1221">
        <v>9</v>
      </c>
      <c r="W1221" t="s">
        <v>35</v>
      </c>
      <c r="X1221" t="s">
        <v>43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</row>
    <row r="1222" spans="1:36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f>FLOOR(Table1_2[[#This Row],[MonthlyIncome]],1000)</f>
        <v>4000</v>
      </c>
      <c r="T1222">
        <v>4502</v>
      </c>
      <c r="U1222">
        <v>7439</v>
      </c>
      <c r="V1222">
        <v>3</v>
      </c>
      <c r="W1222" t="s">
        <v>35</v>
      </c>
      <c r="X1222" t="s">
        <v>43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</row>
    <row r="1223" spans="1:36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f>FLOOR(Table1_2[[#This Row],[MonthlyIncome]],1000)</f>
        <v>10000</v>
      </c>
      <c r="T1223">
        <v>10748</v>
      </c>
      <c r="U1223">
        <v>3395</v>
      </c>
      <c r="V1223">
        <v>3</v>
      </c>
      <c r="W1223" t="s">
        <v>35</v>
      </c>
      <c r="X1223" t="s">
        <v>43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</row>
    <row r="1224" spans="1:36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f>FLOOR(Table1_2[[#This Row],[MonthlyIncome]],1000)</f>
        <v>1000</v>
      </c>
      <c r="T1224">
        <v>1555</v>
      </c>
      <c r="U1224">
        <v>11585</v>
      </c>
      <c r="V1224">
        <v>1</v>
      </c>
      <c r="W1224" t="s">
        <v>35</v>
      </c>
      <c r="X1224" t="s">
        <v>43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</row>
    <row r="1225" spans="1:36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f>FLOOR(Table1_2[[#This Row],[MonthlyIncome]],1000)</f>
        <v>12000</v>
      </c>
      <c r="T1225">
        <v>12936</v>
      </c>
      <c r="U1225">
        <v>24164</v>
      </c>
      <c r="V1225">
        <v>7</v>
      </c>
      <c r="W1225" t="s">
        <v>35</v>
      </c>
      <c r="X1225" t="s">
        <v>43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</row>
    <row r="1226" spans="1:36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f>FLOOR(Table1_2[[#This Row],[MonthlyIncome]],1000)</f>
        <v>2000</v>
      </c>
      <c r="T1226">
        <v>2305</v>
      </c>
      <c r="U1226">
        <v>6217</v>
      </c>
      <c r="V1226">
        <v>1</v>
      </c>
      <c r="W1226" t="s">
        <v>35</v>
      </c>
      <c r="X1226" t="s">
        <v>43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</row>
    <row r="1227" spans="1:36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f>FLOOR(Table1_2[[#This Row],[MonthlyIncome]],1000)</f>
        <v>16000</v>
      </c>
      <c r="T1227">
        <v>16704</v>
      </c>
      <c r="U1227">
        <v>17119</v>
      </c>
      <c r="V1227">
        <v>1</v>
      </c>
      <c r="W1227" t="s">
        <v>35</v>
      </c>
      <c r="X1227" t="s">
        <v>43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</row>
    <row r="1228" spans="1:36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f>FLOOR(Table1_2[[#This Row],[MonthlyIncome]],1000)</f>
        <v>3000</v>
      </c>
      <c r="T1228">
        <v>3433</v>
      </c>
      <c r="U1228">
        <v>17360</v>
      </c>
      <c r="V1228">
        <v>6</v>
      </c>
      <c r="W1228" t="s">
        <v>35</v>
      </c>
      <c r="X1228" t="s">
        <v>43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</row>
    <row r="1229" spans="1:36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f>FLOOR(Table1_2[[#This Row],[MonthlyIncome]],1000)</f>
        <v>3000</v>
      </c>
      <c r="T1229">
        <v>3477</v>
      </c>
      <c r="U1229">
        <v>18103</v>
      </c>
      <c r="V1229">
        <v>1</v>
      </c>
      <c r="W1229" t="s">
        <v>35</v>
      </c>
      <c r="X1229" t="s">
        <v>43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</row>
    <row r="1230" spans="1:36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f>FLOOR(Table1_2[[#This Row],[MonthlyIncome]],1000)</f>
        <v>6000</v>
      </c>
      <c r="T1230">
        <v>6430</v>
      </c>
      <c r="U1230">
        <v>20794</v>
      </c>
      <c r="V1230">
        <v>6</v>
      </c>
      <c r="W1230" t="s">
        <v>35</v>
      </c>
      <c r="X1230" t="s">
        <v>43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</row>
    <row r="1231" spans="1:36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f>FLOOR(Table1_2[[#This Row],[MonthlyIncome]],1000)</f>
        <v>6000</v>
      </c>
      <c r="T1231">
        <v>6516</v>
      </c>
      <c r="U1231">
        <v>5041</v>
      </c>
      <c r="V1231">
        <v>2</v>
      </c>
      <c r="W1231" t="s">
        <v>35</v>
      </c>
      <c r="X1231" t="s">
        <v>35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</row>
    <row r="1232" spans="1:36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f>FLOOR(Table1_2[[#This Row],[MonthlyIncome]],1000)</f>
        <v>3000</v>
      </c>
      <c r="T1232">
        <v>3907</v>
      </c>
      <c r="U1232">
        <v>3622</v>
      </c>
      <c r="V1232">
        <v>1</v>
      </c>
      <c r="W1232" t="s">
        <v>35</v>
      </c>
      <c r="X1232" t="s">
        <v>43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</row>
    <row r="1233" spans="1:36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f>FLOOR(Table1_2[[#This Row],[MonthlyIncome]],1000)</f>
        <v>5000</v>
      </c>
      <c r="T1233">
        <v>5562</v>
      </c>
      <c r="U1233">
        <v>9697</v>
      </c>
      <c r="V1233">
        <v>6</v>
      </c>
      <c r="W1233" t="s">
        <v>35</v>
      </c>
      <c r="X1233" t="s">
        <v>43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</row>
    <row r="1234" spans="1:36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f>FLOOR(Table1_2[[#This Row],[MonthlyIncome]],1000)</f>
        <v>6000</v>
      </c>
      <c r="T1234">
        <v>6883</v>
      </c>
      <c r="U1234">
        <v>5151</v>
      </c>
      <c r="V1234">
        <v>2</v>
      </c>
      <c r="W1234" t="s">
        <v>35</v>
      </c>
      <c r="X1234" t="s">
        <v>43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</row>
    <row r="1235" spans="1:36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f>FLOOR(Table1_2[[#This Row],[MonthlyIncome]],1000)</f>
        <v>2000</v>
      </c>
      <c r="T1235">
        <v>2862</v>
      </c>
      <c r="U1235">
        <v>3811</v>
      </c>
      <c r="V1235">
        <v>1</v>
      </c>
      <c r="W1235" t="s">
        <v>35</v>
      </c>
      <c r="X1235" t="s">
        <v>43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</row>
    <row r="1236" spans="1:36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f>FLOOR(Table1_2[[#This Row],[MonthlyIncome]],1000)</f>
        <v>4000</v>
      </c>
      <c r="T1236">
        <v>4978</v>
      </c>
      <c r="U1236">
        <v>3536</v>
      </c>
      <c r="V1236">
        <v>7</v>
      </c>
      <c r="W1236" t="s">
        <v>35</v>
      </c>
      <c r="X1236" t="s">
        <v>43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</row>
    <row r="1237" spans="1:36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f>FLOOR(Table1_2[[#This Row],[MonthlyIncome]],1000)</f>
        <v>10000</v>
      </c>
      <c r="T1237">
        <v>10368</v>
      </c>
      <c r="U1237">
        <v>5596</v>
      </c>
      <c r="V1237">
        <v>4</v>
      </c>
      <c r="W1237" t="s">
        <v>35</v>
      </c>
      <c r="X1237" t="s">
        <v>35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</row>
    <row r="1238" spans="1:36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f>FLOOR(Table1_2[[#This Row],[MonthlyIncome]],1000)</f>
        <v>6000</v>
      </c>
      <c r="T1238">
        <v>6134</v>
      </c>
      <c r="U1238">
        <v>8658</v>
      </c>
      <c r="V1238">
        <v>5</v>
      </c>
      <c r="W1238" t="s">
        <v>35</v>
      </c>
      <c r="X1238" t="s">
        <v>35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</row>
    <row r="1239" spans="1:36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f>FLOOR(Table1_2[[#This Row],[MonthlyIncome]],1000)</f>
        <v>6000</v>
      </c>
      <c r="T1239">
        <v>6735</v>
      </c>
      <c r="U1239">
        <v>12147</v>
      </c>
      <c r="V1239">
        <v>6</v>
      </c>
      <c r="W1239" t="s">
        <v>35</v>
      </c>
      <c r="X1239" t="s">
        <v>43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</row>
    <row r="1240" spans="1:36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f>FLOOR(Table1_2[[#This Row],[MonthlyIncome]],1000)</f>
        <v>3000</v>
      </c>
      <c r="T1240">
        <v>3295</v>
      </c>
      <c r="U1240">
        <v>12862</v>
      </c>
      <c r="V1240">
        <v>1</v>
      </c>
      <c r="W1240" t="s">
        <v>35</v>
      </c>
      <c r="X1240" t="s">
        <v>43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</row>
    <row r="1241" spans="1:36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f>FLOOR(Table1_2[[#This Row],[MonthlyIncome]],1000)</f>
        <v>5000</v>
      </c>
      <c r="T1241">
        <v>5238</v>
      </c>
      <c r="U1241">
        <v>6670</v>
      </c>
      <c r="V1241">
        <v>2</v>
      </c>
      <c r="W1241" t="s">
        <v>35</v>
      </c>
      <c r="X1241" t="s">
        <v>43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</row>
    <row r="1242" spans="1:36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f>FLOOR(Table1_2[[#This Row],[MonthlyIncome]],1000)</f>
        <v>6000</v>
      </c>
      <c r="T1242">
        <v>6472</v>
      </c>
      <c r="U1242">
        <v>8989</v>
      </c>
      <c r="V1242">
        <v>1</v>
      </c>
      <c r="W1242" t="s">
        <v>35</v>
      </c>
      <c r="X1242" t="s">
        <v>35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</row>
    <row r="1243" spans="1:36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f>FLOOR(Table1_2[[#This Row],[MonthlyIncome]],1000)</f>
        <v>9000</v>
      </c>
      <c r="T1243">
        <v>9610</v>
      </c>
      <c r="U1243">
        <v>3840</v>
      </c>
      <c r="V1243">
        <v>3</v>
      </c>
      <c r="W1243" t="s">
        <v>35</v>
      </c>
      <c r="X1243" t="s">
        <v>43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</row>
    <row r="1244" spans="1:36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f>FLOOR(Table1_2[[#This Row],[MonthlyIncome]],1000)</f>
        <v>19000</v>
      </c>
      <c r="T1244">
        <v>19833</v>
      </c>
      <c r="U1244">
        <v>4349</v>
      </c>
      <c r="V1244">
        <v>1</v>
      </c>
      <c r="W1244" t="s">
        <v>35</v>
      </c>
      <c r="X1244" t="s">
        <v>43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</row>
    <row r="1245" spans="1:36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f>FLOOR(Table1_2[[#This Row],[MonthlyIncome]],1000)</f>
        <v>9000</v>
      </c>
      <c r="T1245">
        <v>9756</v>
      </c>
      <c r="U1245">
        <v>6595</v>
      </c>
      <c r="V1245">
        <v>4</v>
      </c>
      <c r="W1245" t="s">
        <v>35</v>
      </c>
      <c r="X1245" t="s">
        <v>43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</row>
    <row r="1246" spans="1:36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f>FLOOR(Table1_2[[#This Row],[MonthlyIncome]],1000)</f>
        <v>4000</v>
      </c>
      <c r="T1246">
        <v>4968</v>
      </c>
      <c r="U1246">
        <v>26427</v>
      </c>
      <c r="V1246">
        <v>0</v>
      </c>
      <c r="W1246" t="s">
        <v>35</v>
      </c>
      <c r="X1246" t="s">
        <v>43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</row>
    <row r="1247" spans="1:36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f>FLOOR(Table1_2[[#This Row],[MonthlyIncome]],1000)</f>
        <v>2000</v>
      </c>
      <c r="T1247">
        <v>2145</v>
      </c>
      <c r="U1247">
        <v>2097</v>
      </c>
      <c r="V1247">
        <v>0</v>
      </c>
      <c r="W1247" t="s">
        <v>35</v>
      </c>
      <c r="X1247" t="s">
        <v>43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</row>
    <row r="1248" spans="1:36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f>FLOOR(Table1_2[[#This Row],[MonthlyIncome]],1000)</f>
        <v>2000</v>
      </c>
      <c r="T1248">
        <v>2180</v>
      </c>
      <c r="U1248">
        <v>9732</v>
      </c>
      <c r="V1248">
        <v>6</v>
      </c>
      <c r="W1248" t="s">
        <v>35</v>
      </c>
      <c r="X1248" t="s">
        <v>43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</row>
    <row r="1249" spans="1:36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f>FLOOR(Table1_2[[#This Row],[MonthlyIncome]],1000)</f>
        <v>8000</v>
      </c>
      <c r="T1249">
        <v>8346</v>
      </c>
      <c r="U1249">
        <v>20943</v>
      </c>
      <c r="V1249">
        <v>1</v>
      </c>
      <c r="W1249" t="s">
        <v>35</v>
      </c>
      <c r="X1249" t="s">
        <v>43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</row>
    <row r="1250" spans="1:36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f>FLOOR(Table1_2[[#This Row],[MonthlyIncome]],1000)</f>
        <v>3000</v>
      </c>
      <c r="T1250">
        <v>3445</v>
      </c>
      <c r="U1250">
        <v>6152</v>
      </c>
      <c r="V1250">
        <v>1</v>
      </c>
      <c r="W1250" t="s">
        <v>35</v>
      </c>
      <c r="X1250" t="s">
        <v>43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</row>
    <row r="1251" spans="1:36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f>FLOOR(Table1_2[[#This Row],[MonthlyIncome]],1000)</f>
        <v>2000</v>
      </c>
      <c r="T1251">
        <v>2760</v>
      </c>
      <c r="U1251">
        <v>14630</v>
      </c>
      <c r="V1251">
        <v>1</v>
      </c>
      <c r="W1251" t="s">
        <v>35</v>
      </c>
      <c r="X1251" t="s">
        <v>43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</row>
    <row r="1252" spans="1:36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f>FLOOR(Table1_2[[#This Row],[MonthlyIncome]],1000)</f>
        <v>6000</v>
      </c>
      <c r="T1252">
        <v>6294</v>
      </c>
      <c r="U1252">
        <v>23060</v>
      </c>
      <c r="V1252">
        <v>8</v>
      </c>
      <c r="W1252" t="s">
        <v>35</v>
      </c>
      <c r="X1252" t="s">
        <v>35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</row>
    <row r="1253" spans="1:36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f>FLOOR(Table1_2[[#This Row],[MonthlyIncome]],1000)</f>
        <v>7000</v>
      </c>
      <c r="T1253">
        <v>7140</v>
      </c>
      <c r="U1253">
        <v>3088</v>
      </c>
      <c r="V1253">
        <v>2</v>
      </c>
      <c r="W1253" t="s">
        <v>35</v>
      </c>
      <c r="X1253" t="s">
        <v>43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</row>
    <row r="1254" spans="1:36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f>FLOOR(Table1_2[[#This Row],[MonthlyIncome]],1000)</f>
        <v>2000</v>
      </c>
      <c r="T1254">
        <v>2932</v>
      </c>
      <c r="U1254">
        <v>5586</v>
      </c>
      <c r="V1254">
        <v>0</v>
      </c>
      <c r="W1254" t="s">
        <v>35</v>
      </c>
      <c r="X1254" t="s">
        <v>35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</row>
    <row r="1255" spans="1:36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f>FLOOR(Table1_2[[#This Row],[MonthlyIncome]],1000)</f>
        <v>5000</v>
      </c>
      <c r="T1255">
        <v>5147</v>
      </c>
      <c r="U1255">
        <v>10697</v>
      </c>
      <c r="V1255">
        <v>8</v>
      </c>
      <c r="W1255" t="s">
        <v>35</v>
      </c>
      <c r="X1255" t="s">
        <v>43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</row>
    <row r="1256" spans="1:36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f>FLOOR(Table1_2[[#This Row],[MonthlyIncome]],1000)</f>
        <v>4000</v>
      </c>
      <c r="T1256">
        <v>4507</v>
      </c>
      <c r="U1256">
        <v>8191</v>
      </c>
      <c r="V1256">
        <v>3</v>
      </c>
      <c r="W1256" t="s">
        <v>35</v>
      </c>
      <c r="X1256" t="s">
        <v>43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</row>
    <row r="1257" spans="1:36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f>FLOOR(Table1_2[[#This Row],[MonthlyIncome]],1000)</f>
        <v>8000</v>
      </c>
      <c r="T1257">
        <v>8564</v>
      </c>
      <c r="U1257">
        <v>10092</v>
      </c>
      <c r="V1257">
        <v>2</v>
      </c>
      <c r="W1257" t="s">
        <v>35</v>
      </c>
      <c r="X1257" t="s">
        <v>35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</row>
    <row r="1258" spans="1:36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f>FLOOR(Table1_2[[#This Row],[MonthlyIncome]],1000)</f>
        <v>2000</v>
      </c>
      <c r="T1258">
        <v>2468</v>
      </c>
      <c r="U1258">
        <v>15963</v>
      </c>
      <c r="V1258">
        <v>4</v>
      </c>
      <c r="W1258" t="s">
        <v>35</v>
      </c>
      <c r="X1258" t="s">
        <v>43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</row>
    <row r="1259" spans="1:36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f>FLOOR(Table1_2[[#This Row],[MonthlyIncome]],1000)</f>
        <v>8000</v>
      </c>
      <c r="T1259">
        <v>8161</v>
      </c>
      <c r="U1259">
        <v>19002</v>
      </c>
      <c r="V1259">
        <v>2</v>
      </c>
      <c r="W1259" t="s">
        <v>35</v>
      </c>
      <c r="X1259" t="s">
        <v>43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</row>
    <row r="1260" spans="1:36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f>FLOOR(Table1_2[[#This Row],[MonthlyIncome]],1000)</f>
        <v>2000</v>
      </c>
      <c r="T1260">
        <v>2109</v>
      </c>
      <c r="U1260">
        <v>10007</v>
      </c>
      <c r="V1260">
        <v>1</v>
      </c>
      <c r="W1260" t="s">
        <v>35</v>
      </c>
      <c r="X1260" t="s">
        <v>43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</row>
    <row r="1261" spans="1:36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f>FLOOR(Table1_2[[#This Row],[MonthlyIncome]],1000)</f>
        <v>5000</v>
      </c>
      <c r="T1261">
        <v>5294</v>
      </c>
      <c r="U1261">
        <v>9128</v>
      </c>
      <c r="V1261">
        <v>3</v>
      </c>
      <c r="W1261" t="s">
        <v>35</v>
      </c>
      <c r="X1261" t="s">
        <v>43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</row>
    <row r="1262" spans="1:36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f>FLOOR(Table1_2[[#This Row],[MonthlyIncome]],1000)</f>
        <v>2000</v>
      </c>
      <c r="T1262">
        <v>2718</v>
      </c>
      <c r="U1262">
        <v>17674</v>
      </c>
      <c r="V1262">
        <v>2</v>
      </c>
      <c r="W1262" t="s">
        <v>35</v>
      </c>
      <c r="X1262" t="s">
        <v>43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</row>
    <row r="1263" spans="1:36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f>FLOOR(Table1_2[[#This Row],[MonthlyIncome]],1000)</f>
        <v>5000</v>
      </c>
      <c r="T1263">
        <v>5811</v>
      </c>
      <c r="U1263">
        <v>24539</v>
      </c>
      <c r="V1263">
        <v>3</v>
      </c>
      <c r="W1263" t="s">
        <v>35</v>
      </c>
      <c r="X1263" t="s">
        <v>35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</row>
    <row r="1264" spans="1:36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f>FLOOR(Table1_2[[#This Row],[MonthlyIncome]],1000)</f>
        <v>2000</v>
      </c>
      <c r="T1264">
        <v>2437</v>
      </c>
      <c r="U1264">
        <v>15587</v>
      </c>
      <c r="V1264">
        <v>9</v>
      </c>
      <c r="W1264" t="s">
        <v>35</v>
      </c>
      <c r="X1264" t="s">
        <v>35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</row>
    <row r="1265" spans="1:36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f>FLOOR(Table1_2[[#This Row],[MonthlyIncome]],1000)</f>
        <v>2000</v>
      </c>
      <c r="T1265">
        <v>2766</v>
      </c>
      <c r="U1265">
        <v>8952</v>
      </c>
      <c r="V1265">
        <v>8</v>
      </c>
      <c r="W1265" t="s">
        <v>35</v>
      </c>
      <c r="X1265" t="s">
        <v>43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</row>
    <row r="1266" spans="1:36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f>FLOOR(Table1_2[[#This Row],[MonthlyIncome]],1000)</f>
        <v>19000</v>
      </c>
      <c r="T1266">
        <v>19038</v>
      </c>
      <c r="U1266">
        <v>19805</v>
      </c>
      <c r="V1266">
        <v>8</v>
      </c>
      <c r="W1266" t="s">
        <v>35</v>
      </c>
      <c r="X1266" t="s">
        <v>43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1:36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f>FLOOR(Table1_2[[#This Row],[MonthlyIncome]],1000)</f>
        <v>3000</v>
      </c>
      <c r="T1267">
        <v>3055</v>
      </c>
      <c r="U1267">
        <v>6194</v>
      </c>
      <c r="V1267">
        <v>5</v>
      </c>
      <c r="W1267" t="s">
        <v>35</v>
      </c>
      <c r="X1267" t="s">
        <v>43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</row>
    <row r="1268" spans="1:36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f>FLOOR(Table1_2[[#This Row],[MonthlyIncome]],1000)</f>
        <v>2000</v>
      </c>
      <c r="T1268">
        <v>2289</v>
      </c>
      <c r="U1268">
        <v>20520</v>
      </c>
      <c r="V1268">
        <v>1</v>
      </c>
      <c r="W1268" t="s">
        <v>35</v>
      </c>
      <c r="X1268" t="s">
        <v>43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</row>
    <row r="1269" spans="1:36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f>FLOOR(Table1_2[[#This Row],[MonthlyIncome]],1000)</f>
        <v>4000</v>
      </c>
      <c r="T1269">
        <v>4001</v>
      </c>
      <c r="U1269">
        <v>12313</v>
      </c>
      <c r="V1269">
        <v>1</v>
      </c>
      <c r="W1269" t="s">
        <v>35</v>
      </c>
      <c r="X1269" t="s">
        <v>35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</row>
    <row r="1270" spans="1:36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f>FLOOR(Table1_2[[#This Row],[MonthlyIncome]],1000)</f>
        <v>12000</v>
      </c>
      <c r="T1270">
        <v>12965</v>
      </c>
      <c r="U1270">
        <v>22308</v>
      </c>
      <c r="V1270">
        <v>4</v>
      </c>
      <c r="W1270" t="s">
        <v>35</v>
      </c>
      <c r="X1270" t="s">
        <v>35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</row>
    <row r="1271" spans="1:36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f>FLOOR(Table1_2[[#This Row],[MonthlyIncome]],1000)</f>
        <v>3000</v>
      </c>
      <c r="T1271">
        <v>3539</v>
      </c>
      <c r="U1271">
        <v>5033</v>
      </c>
      <c r="V1271">
        <v>0</v>
      </c>
      <c r="W1271" t="s">
        <v>35</v>
      </c>
      <c r="X1271" t="s">
        <v>43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</row>
    <row r="1272" spans="1:36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f>FLOOR(Table1_2[[#This Row],[MonthlyIncome]],1000)</f>
        <v>6000</v>
      </c>
      <c r="T1272">
        <v>6029</v>
      </c>
      <c r="U1272">
        <v>25353</v>
      </c>
      <c r="V1272">
        <v>5</v>
      </c>
      <c r="W1272" t="s">
        <v>35</v>
      </c>
      <c r="X1272" t="s">
        <v>43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</row>
    <row r="1273" spans="1:36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f>FLOOR(Table1_2[[#This Row],[MonthlyIncome]],1000)</f>
        <v>2000</v>
      </c>
      <c r="T1273">
        <v>2679</v>
      </c>
      <c r="U1273">
        <v>4567</v>
      </c>
      <c r="V1273">
        <v>1</v>
      </c>
      <c r="W1273" t="s">
        <v>35</v>
      </c>
      <c r="X1273" t="s">
        <v>43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</row>
    <row r="1274" spans="1:36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f>FLOOR(Table1_2[[#This Row],[MonthlyIncome]],1000)</f>
        <v>3000</v>
      </c>
      <c r="T1274">
        <v>3702</v>
      </c>
      <c r="U1274">
        <v>16376</v>
      </c>
      <c r="V1274">
        <v>1</v>
      </c>
      <c r="W1274" t="s">
        <v>35</v>
      </c>
      <c r="X1274" t="s">
        <v>43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</row>
    <row r="1275" spans="1:36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f>FLOOR(Table1_2[[#This Row],[MonthlyIncome]],1000)</f>
        <v>2000</v>
      </c>
      <c r="T1275">
        <v>2398</v>
      </c>
      <c r="U1275">
        <v>15999</v>
      </c>
      <c r="V1275">
        <v>1</v>
      </c>
      <c r="W1275" t="s">
        <v>35</v>
      </c>
      <c r="X1275" t="s">
        <v>35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</row>
    <row r="1276" spans="1:36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f>FLOOR(Table1_2[[#This Row],[MonthlyIncome]],1000)</f>
        <v>5000</v>
      </c>
      <c r="T1276">
        <v>5468</v>
      </c>
      <c r="U1276">
        <v>13402</v>
      </c>
      <c r="V1276">
        <v>1</v>
      </c>
      <c r="W1276" t="s">
        <v>35</v>
      </c>
      <c r="X1276" t="s">
        <v>43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</row>
    <row r="1277" spans="1:36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f>FLOOR(Table1_2[[#This Row],[MonthlyIncome]],1000)</f>
        <v>13000</v>
      </c>
      <c r="T1277">
        <v>13116</v>
      </c>
      <c r="U1277">
        <v>22984</v>
      </c>
      <c r="V1277">
        <v>2</v>
      </c>
      <c r="W1277" t="s">
        <v>35</v>
      </c>
      <c r="X1277" t="s">
        <v>43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</row>
    <row r="1278" spans="1:36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f>FLOOR(Table1_2[[#This Row],[MonthlyIncome]],1000)</f>
        <v>4000</v>
      </c>
      <c r="T1278">
        <v>4189</v>
      </c>
      <c r="U1278">
        <v>8800</v>
      </c>
      <c r="V1278">
        <v>1</v>
      </c>
      <c r="W1278" t="s">
        <v>35</v>
      </c>
      <c r="X1278" t="s">
        <v>43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</row>
    <row r="1279" spans="1:36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f>FLOOR(Table1_2[[#This Row],[MonthlyIncome]],1000)</f>
        <v>19000</v>
      </c>
      <c r="T1279">
        <v>19328</v>
      </c>
      <c r="U1279">
        <v>14218</v>
      </c>
      <c r="V1279">
        <v>7</v>
      </c>
      <c r="W1279" t="s">
        <v>35</v>
      </c>
      <c r="X1279" t="s">
        <v>35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</row>
    <row r="1280" spans="1:36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f>FLOOR(Table1_2[[#This Row],[MonthlyIncome]],1000)</f>
        <v>8000</v>
      </c>
      <c r="T1280">
        <v>8321</v>
      </c>
      <c r="U1280">
        <v>25949</v>
      </c>
      <c r="V1280">
        <v>7</v>
      </c>
      <c r="W1280" t="s">
        <v>35</v>
      </c>
      <c r="X1280" t="s">
        <v>35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</row>
    <row r="1281" spans="1:36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f>FLOOR(Table1_2[[#This Row],[MonthlyIncome]],1000)</f>
        <v>2000</v>
      </c>
      <c r="T1281">
        <v>2342</v>
      </c>
      <c r="U1281">
        <v>11092</v>
      </c>
      <c r="V1281">
        <v>1</v>
      </c>
      <c r="W1281" t="s">
        <v>35</v>
      </c>
      <c r="X1281" t="s">
        <v>35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</row>
    <row r="1282" spans="1:36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f>FLOOR(Table1_2[[#This Row],[MonthlyIncome]],1000)</f>
        <v>4000</v>
      </c>
      <c r="T1282">
        <v>4071</v>
      </c>
      <c r="U1282">
        <v>12832</v>
      </c>
      <c r="V1282">
        <v>2</v>
      </c>
      <c r="W1282" t="s">
        <v>35</v>
      </c>
      <c r="X1282" t="s">
        <v>43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</row>
    <row r="1283" spans="1:36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f>FLOOR(Table1_2[[#This Row],[MonthlyIncome]],1000)</f>
        <v>5000</v>
      </c>
      <c r="T1283">
        <v>5813</v>
      </c>
      <c r="U1283">
        <v>13492</v>
      </c>
      <c r="V1283">
        <v>1</v>
      </c>
      <c r="W1283" t="s">
        <v>35</v>
      </c>
      <c r="X1283" t="s">
        <v>35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</row>
    <row r="1284" spans="1:36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f>FLOOR(Table1_2[[#This Row],[MonthlyIncome]],1000)</f>
        <v>3000</v>
      </c>
      <c r="T1284">
        <v>3143</v>
      </c>
      <c r="U1284">
        <v>6076</v>
      </c>
      <c r="V1284">
        <v>6</v>
      </c>
      <c r="W1284" t="s">
        <v>35</v>
      </c>
      <c r="X1284" t="s">
        <v>43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</row>
    <row r="1285" spans="1:36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f>FLOOR(Table1_2[[#This Row],[MonthlyIncome]],1000)</f>
        <v>2000</v>
      </c>
      <c r="T1285">
        <v>2044</v>
      </c>
      <c r="U1285">
        <v>5531</v>
      </c>
      <c r="V1285">
        <v>1</v>
      </c>
      <c r="W1285" t="s">
        <v>35</v>
      </c>
      <c r="X1285" t="s">
        <v>43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</row>
    <row r="1286" spans="1:36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f>FLOOR(Table1_2[[#This Row],[MonthlyIncome]],1000)</f>
        <v>13000</v>
      </c>
      <c r="T1286">
        <v>13464</v>
      </c>
      <c r="U1286">
        <v>7914</v>
      </c>
      <c r="V1286">
        <v>7</v>
      </c>
      <c r="W1286" t="s">
        <v>35</v>
      </c>
      <c r="X1286" t="s">
        <v>43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</row>
    <row r="1287" spans="1:36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f>FLOOR(Table1_2[[#This Row],[MonthlyIncome]],1000)</f>
        <v>7000</v>
      </c>
      <c r="T1287">
        <v>7991</v>
      </c>
      <c r="U1287">
        <v>25166</v>
      </c>
      <c r="V1287">
        <v>8</v>
      </c>
      <c r="W1287" t="s">
        <v>35</v>
      </c>
      <c r="X1287" t="s">
        <v>43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</row>
    <row r="1288" spans="1:36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f>FLOOR(Table1_2[[#This Row],[MonthlyIncome]],1000)</f>
        <v>3000</v>
      </c>
      <c r="T1288">
        <v>3377</v>
      </c>
      <c r="U1288">
        <v>25605</v>
      </c>
      <c r="V1288">
        <v>4</v>
      </c>
      <c r="W1288" t="s">
        <v>35</v>
      </c>
      <c r="X1288" t="s">
        <v>43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</row>
    <row r="1289" spans="1:36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f>FLOOR(Table1_2[[#This Row],[MonthlyIncome]],1000)</f>
        <v>5000</v>
      </c>
      <c r="T1289">
        <v>5538</v>
      </c>
      <c r="U1289">
        <v>5696</v>
      </c>
      <c r="V1289">
        <v>5</v>
      </c>
      <c r="W1289" t="s">
        <v>35</v>
      </c>
      <c r="X1289" t="s">
        <v>43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</row>
    <row r="1290" spans="1:36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f>FLOOR(Table1_2[[#This Row],[MonthlyIncome]],1000)</f>
        <v>5000</v>
      </c>
      <c r="T1290">
        <v>5762</v>
      </c>
      <c r="U1290">
        <v>24442</v>
      </c>
      <c r="V1290">
        <v>2</v>
      </c>
      <c r="W1290" t="s">
        <v>35</v>
      </c>
      <c r="X1290" t="s">
        <v>43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</row>
    <row r="1291" spans="1:36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f>FLOOR(Table1_2[[#This Row],[MonthlyIncome]],1000)</f>
        <v>2000</v>
      </c>
      <c r="T1291">
        <v>2592</v>
      </c>
      <c r="U1291">
        <v>7129</v>
      </c>
      <c r="V1291">
        <v>5</v>
      </c>
      <c r="W1291" t="s">
        <v>35</v>
      </c>
      <c r="X1291" t="s">
        <v>43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</row>
    <row r="1292" spans="1:36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f>FLOOR(Table1_2[[#This Row],[MonthlyIncome]],1000)</f>
        <v>5000</v>
      </c>
      <c r="T1292">
        <v>5346</v>
      </c>
      <c r="U1292">
        <v>6208</v>
      </c>
      <c r="V1292">
        <v>4</v>
      </c>
      <c r="W1292" t="s">
        <v>35</v>
      </c>
      <c r="X1292" t="s">
        <v>43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</row>
    <row r="1293" spans="1:36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f>FLOOR(Table1_2[[#This Row],[MonthlyIncome]],1000)</f>
        <v>4000</v>
      </c>
      <c r="T1293">
        <v>4213</v>
      </c>
      <c r="U1293">
        <v>4992</v>
      </c>
      <c r="V1293">
        <v>1</v>
      </c>
      <c r="W1293" t="s">
        <v>35</v>
      </c>
      <c r="X1293" t="s">
        <v>43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</row>
    <row r="1294" spans="1:36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f>FLOOR(Table1_2[[#This Row],[MonthlyIncome]],1000)</f>
        <v>4000</v>
      </c>
      <c r="T1294">
        <v>4127</v>
      </c>
      <c r="U1294">
        <v>19188</v>
      </c>
      <c r="V1294">
        <v>2</v>
      </c>
      <c r="W1294" t="s">
        <v>35</v>
      </c>
      <c r="X1294" t="s">
        <v>43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</row>
    <row r="1295" spans="1:36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f>FLOOR(Table1_2[[#This Row],[MonthlyIncome]],1000)</f>
        <v>2000</v>
      </c>
      <c r="T1295">
        <v>2438</v>
      </c>
      <c r="U1295">
        <v>24978</v>
      </c>
      <c r="V1295">
        <v>4</v>
      </c>
      <c r="W1295" t="s">
        <v>35</v>
      </c>
      <c r="X1295" t="s">
        <v>43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</row>
    <row r="1296" spans="1:36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f>FLOOR(Table1_2[[#This Row],[MonthlyIncome]],1000)</f>
        <v>6000</v>
      </c>
      <c r="T1296">
        <v>6870</v>
      </c>
      <c r="U1296">
        <v>15530</v>
      </c>
      <c r="V1296">
        <v>3</v>
      </c>
      <c r="W1296" t="s">
        <v>35</v>
      </c>
      <c r="X1296" t="s">
        <v>43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</row>
    <row r="1297" spans="1:36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f>FLOOR(Table1_2[[#This Row],[MonthlyIncome]],1000)</f>
        <v>10000</v>
      </c>
      <c r="T1297">
        <v>10447</v>
      </c>
      <c r="U1297">
        <v>26458</v>
      </c>
      <c r="V1297">
        <v>0</v>
      </c>
      <c r="W1297" t="s">
        <v>35</v>
      </c>
      <c r="X1297" t="s">
        <v>35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</row>
    <row r="1298" spans="1:36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f>FLOOR(Table1_2[[#This Row],[MonthlyIncome]],1000)</f>
        <v>9000</v>
      </c>
      <c r="T1298">
        <v>9667</v>
      </c>
      <c r="U1298">
        <v>2739</v>
      </c>
      <c r="V1298">
        <v>9</v>
      </c>
      <c r="W1298" t="s">
        <v>35</v>
      </c>
      <c r="X1298" t="s">
        <v>43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</row>
    <row r="1299" spans="1:36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f>FLOOR(Table1_2[[#This Row],[MonthlyIncome]],1000)</f>
        <v>2000</v>
      </c>
      <c r="T1299">
        <v>2148</v>
      </c>
      <c r="U1299">
        <v>6889</v>
      </c>
      <c r="V1299">
        <v>0</v>
      </c>
      <c r="W1299" t="s">
        <v>35</v>
      </c>
      <c r="X1299" t="s">
        <v>35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</row>
    <row r="1300" spans="1:36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f>FLOOR(Table1_2[[#This Row],[MonthlyIncome]],1000)</f>
        <v>8000</v>
      </c>
      <c r="T1300">
        <v>8926</v>
      </c>
      <c r="U1300">
        <v>10842</v>
      </c>
      <c r="V1300">
        <v>4</v>
      </c>
      <c r="W1300" t="s">
        <v>35</v>
      </c>
      <c r="X1300" t="s">
        <v>43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</row>
    <row r="1301" spans="1:36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f>FLOOR(Table1_2[[#This Row],[MonthlyIncome]],1000)</f>
        <v>6000</v>
      </c>
      <c r="T1301">
        <v>6513</v>
      </c>
      <c r="U1301">
        <v>9060</v>
      </c>
      <c r="V1301">
        <v>4</v>
      </c>
      <c r="W1301" t="s">
        <v>35</v>
      </c>
      <c r="X1301" t="s">
        <v>43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</row>
    <row r="1302" spans="1:36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f>FLOOR(Table1_2[[#This Row],[MonthlyIncome]],1000)</f>
        <v>6000</v>
      </c>
      <c r="T1302">
        <v>6799</v>
      </c>
      <c r="U1302">
        <v>22128</v>
      </c>
      <c r="V1302">
        <v>1</v>
      </c>
      <c r="W1302" t="s">
        <v>35</v>
      </c>
      <c r="X1302" t="s">
        <v>43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</row>
    <row r="1303" spans="1:36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f>FLOOR(Table1_2[[#This Row],[MonthlyIncome]],1000)</f>
        <v>16000</v>
      </c>
      <c r="T1303">
        <v>16291</v>
      </c>
      <c r="U1303">
        <v>22577</v>
      </c>
      <c r="V1303">
        <v>4</v>
      </c>
      <c r="W1303" t="s">
        <v>35</v>
      </c>
      <c r="X1303" t="s">
        <v>43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</row>
    <row r="1304" spans="1:36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f>FLOOR(Table1_2[[#This Row],[MonthlyIncome]],1000)</f>
        <v>2000</v>
      </c>
      <c r="T1304">
        <v>2705</v>
      </c>
      <c r="U1304">
        <v>9696</v>
      </c>
      <c r="V1304">
        <v>0</v>
      </c>
      <c r="W1304" t="s">
        <v>35</v>
      </c>
      <c r="X1304" t="s">
        <v>43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</row>
    <row r="1305" spans="1:36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f>FLOOR(Table1_2[[#This Row],[MonthlyIncome]],1000)</f>
        <v>10000</v>
      </c>
      <c r="T1305">
        <v>10333</v>
      </c>
      <c r="U1305">
        <v>19271</v>
      </c>
      <c r="V1305">
        <v>8</v>
      </c>
      <c r="W1305" t="s">
        <v>35</v>
      </c>
      <c r="X1305" t="s">
        <v>35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</row>
    <row r="1306" spans="1:36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f>FLOOR(Table1_2[[#This Row],[MonthlyIncome]],1000)</f>
        <v>4000</v>
      </c>
      <c r="T1306">
        <v>4448</v>
      </c>
      <c r="U1306">
        <v>10748</v>
      </c>
      <c r="V1306">
        <v>2</v>
      </c>
      <c r="W1306" t="s">
        <v>35</v>
      </c>
      <c r="X1306" t="s">
        <v>43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</row>
    <row r="1307" spans="1:36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f>FLOOR(Table1_2[[#This Row],[MonthlyIncome]],1000)</f>
        <v>6000</v>
      </c>
      <c r="T1307">
        <v>6854</v>
      </c>
      <c r="U1307">
        <v>15696</v>
      </c>
      <c r="V1307">
        <v>4</v>
      </c>
      <c r="W1307" t="s">
        <v>35</v>
      </c>
      <c r="X1307" t="s">
        <v>43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</row>
    <row r="1308" spans="1:36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f>FLOOR(Table1_2[[#This Row],[MonthlyIncome]],1000)</f>
        <v>9000</v>
      </c>
      <c r="T1308">
        <v>9637</v>
      </c>
      <c r="U1308">
        <v>8277</v>
      </c>
      <c r="V1308">
        <v>2</v>
      </c>
      <c r="W1308" t="s">
        <v>35</v>
      </c>
      <c r="X1308" t="s">
        <v>43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</row>
    <row r="1309" spans="1:36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f>FLOOR(Table1_2[[#This Row],[MonthlyIncome]],1000)</f>
        <v>3000</v>
      </c>
      <c r="T1309">
        <v>3591</v>
      </c>
      <c r="U1309">
        <v>12719</v>
      </c>
      <c r="V1309">
        <v>1</v>
      </c>
      <c r="W1309" t="s">
        <v>35</v>
      </c>
      <c r="X1309" t="s">
        <v>43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</row>
    <row r="1310" spans="1:36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f>FLOOR(Table1_2[[#This Row],[MonthlyIncome]],1000)</f>
        <v>5000</v>
      </c>
      <c r="T1310">
        <v>5405</v>
      </c>
      <c r="U1310">
        <v>4244</v>
      </c>
      <c r="V1310">
        <v>2</v>
      </c>
      <c r="W1310" t="s">
        <v>35</v>
      </c>
      <c r="X1310" t="s">
        <v>35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</row>
    <row r="1311" spans="1:36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f>FLOOR(Table1_2[[#This Row],[MonthlyIncome]],1000)</f>
        <v>4000</v>
      </c>
      <c r="T1311">
        <v>4684</v>
      </c>
      <c r="U1311">
        <v>9125</v>
      </c>
      <c r="V1311">
        <v>1</v>
      </c>
      <c r="W1311" t="s">
        <v>35</v>
      </c>
      <c r="X1311" t="s">
        <v>43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</row>
    <row r="1312" spans="1:36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f>FLOOR(Table1_2[[#This Row],[MonthlyIncome]],1000)</f>
        <v>15000</v>
      </c>
      <c r="T1312">
        <v>15787</v>
      </c>
      <c r="U1312">
        <v>21624</v>
      </c>
      <c r="V1312">
        <v>2</v>
      </c>
      <c r="W1312" t="s">
        <v>35</v>
      </c>
      <c r="X1312" t="s">
        <v>35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</row>
    <row r="1313" spans="1:36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f>FLOOR(Table1_2[[#This Row],[MonthlyIncome]],1000)</f>
        <v>1000</v>
      </c>
      <c r="T1313">
        <v>1514</v>
      </c>
      <c r="U1313">
        <v>8018</v>
      </c>
      <c r="V1313">
        <v>1</v>
      </c>
      <c r="W1313" t="s">
        <v>35</v>
      </c>
      <c r="X1313" t="s">
        <v>43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</row>
    <row r="1314" spans="1:36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f>FLOOR(Table1_2[[#This Row],[MonthlyIncome]],1000)</f>
        <v>2000</v>
      </c>
      <c r="T1314">
        <v>2956</v>
      </c>
      <c r="U1314">
        <v>21495</v>
      </c>
      <c r="V1314">
        <v>0</v>
      </c>
      <c r="W1314" t="s">
        <v>35</v>
      </c>
      <c r="X1314" t="s">
        <v>43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</row>
    <row r="1315" spans="1:36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f>FLOOR(Table1_2[[#This Row],[MonthlyIncome]],1000)</f>
        <v>2000</v>
      </c>
      <c r="T1315">
        <v>2335</v>
      </c>
      <c r="U1315">
        <v>3157</v>
      </c>
      <c r="V1315">
        <v>4</v>
      </c>
      <c r="W1315" t="s">
        <v>35</v>
      </c>
      <c r="X1315" t="s">
        <v>35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</row>
    <row r="1316" spans="1:36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f>FLOOR(Table1_2[[#This Row],[MonthlyIncome]],1000)</f>
        <v>5000</v>
      </c>
      <c r="T1316">
        <v>5154</v>
      </c>
      <c r="U1316">
        <v>19665</v>
      </c>
      <c r="V1316">
        <v>4</v>
      </c>
      <c r="W1316" t="s">
        <v>35</v>
      </c>
      <c r="X1316" t="s">
        <v>43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</row>
    <row r="1317" spans="1:36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f>FLOOR(Table1_2[[#This Row],[MonthlyIncome]],1000)</f>
        <v>6000</v>
      </c>
      <c r="T1317">
        <v>6962</v>
      </c>
      <c r="U1317">
        <v>19573</v>
      </c>
      <c r="V1317">
        <v>4</v>
      </c>
      <c r="W1317" t="s">
        <v>35</v>
      </c>
      <c r="X1317" t="s">
        <v>35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</row>
    <row r="1318" spans="1:36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f>FLOOR(Table1_2[[#This Row],[MonthlyIncome]],1000)</f>
        <v>5000</v>
      </c>
      <c r="T1318">
        <v>5675</v>
      </c>
      <c r="U1318">
        <v>19246</v>
      </c>
      <c r="V1318">
        <v>1</v>
      </c>
      <c r="W1318" t="s">
        <v>35</v>
      </c>
      <c r="X1318" t="s">
        <v>43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</row>
    <row r="1319" spans="1:36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f>FLOOR(Table1_2[[#This Row],[MonthlyIncome]],1000)</f>
        <v>2000</v>
      </c>
      <c r="T1319">
        <v>2379</v>
      </c>
      <c r="U1319">
        <v>19826</v>
      </c>
      <c r="V1319">
        <v>0</v>
      </c>
      <c r="W1319" t="s">
        <v>35</v>
      </c>
      <c r="X1319" t="s">
        <v>35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</row>
    <row r="1320" spans="1:36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f>FLOOR(Table1_2[[#This Row],[MonthlyIncome]],1000)</f>
        <v>3000</v>
      </c>
      <c r="T1320">
        <v>3812</v>
      </c>
      <c r="U1320">
        <v>7003</v>
      </c>
      <c r="V1320">
        <v>1</v>
      </c>
      <c r="W1320" t="s">
        <v>35</v>
      </c>
      <c r="X1320" t="s">
        <v>43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</row>
    <row r="1321" spans="1:36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f>FLOOR(Table1_2[[#This Row],[MonthlyIncome]],1000)</f>
        <v>4000</v>
      </c>
      <c r="T1321">
        <v>4648</v>
      </c>
      <c r="U1321">
        <v>26075</v>
      </c>
      <c r="V1321">
        <v>8</v>
      </c>
      <c r="W1321" t="s">
        <v>35</v>
      </c>
      <c r="X1321" t="s">
        <v>43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</row>
    <row r="1322" spans="1:36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f>FLOOR(Table1_2[[#This Row],[MonthlyIncome]],1000)</f>
        <v>2000</v>
      </c>
      <c r="T1322">
        <v>2936</v>
      </c>
      <c r="U1322">
        <v>6161</v>
      </c>
      <c r="V1322">
        <v>3</v>
      </c>
      <c r="W1322" t="s">
        <v>35</v>
      </c>
      <c r="X1322" t="s">
        <v>43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</row>
    <row r="1323" spans="1:36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f>FLOOR(Table1_2[[#This Row],[MonthlyIncome]],1000)</f>
        <v>2000</v>
      </c>
      <c r="T1323">
        <v>2105</v>
      </c>
      <c r="U1323">
        <v>5411</v>
      </c>
      <c r="V1323">
        <v>4</v>
      </c>
      <c r="W1323" t="s">
        <v>35</v>
      </c>
      <c r="X1323" t="s">
        <v>43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</row>
    <row r="1324" spans="1:36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f>FLOOR(Table1_2[[#This Row],[MonthlyIncome]],1000)</f>
        <v>8000</v>
      </c>
      <c r="T1324">
        <v>8578</v>
      </c>
      <c r="U1324">
        <v>19989</v>
      </c>
      <c r="V1324">
        <v>3</v>
      </c>
      <c r="W1324" t="s">
        <v>35</v>
      </c>
      <c r="X1324" t="s">
        <v>43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</row>
    <row r="1325" spans="1:36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f>FLOOR(Table1_2[[#This Row],[MonthlyIncome]],1000)</f>
        <v>2000</v>
      </c>
      <c r="T1325">
        <v>2706</v>
      </c>
      <c r="U1325">
        <v>10494</v>
      </c>
      <c r="V1325">
        <v>1</v>
      </c>
      <c r="W1325" t="s">
        <v>35</v>
      </c>
      <c r="X1325" t="s">
        <v>43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</row>
    <row r="1326" spans="1:36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f>FLOOR(Table1_2[[#This Row],[MonthlyIncome]],1000)</f>
        <v>6000</v>
      </c>
      <c r="T1326">
        <v>6384</v>
      </c>
      <c r="U1326">
        <v>21143</v>
      </c>
      <c r="V1326">
        <v>8</v>
      </c>
      <c r="W1326" t="s">
        <v>35</v>
      </c>
      <c r="X1326" t="s">
        <v>43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</row>
    <row r="1327" spans="1:36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f>FLOOR(Table1_2[[#This Row],[MonthlyIncome]],1000)</f>
        <v>3000</v>
      </c>
      <c r="T1327">
        <v>3968</v>
      </c>
      <c r="U1327">
        <v>13624</v>
      </c>
      <c r="V1327">
        <v>4</v>
      </c>
      <c r="W1327" t="s">
        <v>35</v>
      </c>
      <c r="X1327" t="s">
        <v>43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</row>
    <row r="1328" spans="1:36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f>FLOOR(Table1_2[[#This Row],[MonthlyIncome]],1000)</f>
        <v>9000</v>
      </c>
      <c r="T1328">
        <v>9907</v>
      </c>
      <c r="U1328">
        <v>26186</v>
      </c>
      <c r="V1328">
        <v>7</v>
      </c>
      <c r="W1328" t="s">
        <v>35</v>
      </c>
      <c r="X1328" t="s">
        <v>35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</row>
    <row r="1329" spans="1:36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f>FLOOR(Table1_2[[#This Row],[MonthlyIncome]],1000)</f>
        <v>13000</v>
      </c>
      <c r="T1329">
        <v>13225</v>
      </c>
      <c r="U1329">
        <v>7739</v>
      </c>
      <c r="V1329">
        <v>2</v>
      </c>
      <c r="W1329" t="s">
        <v>35</v>
      </c>
      <c r="X1329" t="s">
        <v>43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</row>
    <row r="1330" spans="1:36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f>FLOOR(Table1_2[[#This Row],[MonthlyIncome]],1000)</f>
        <v>3000</v>
      </c>
      <c r="T1330">
        <v>3540</v>
      </c>
      <c r="U1330">
        <v>7018</v>
      </c>
      <c r="V1330">
        <v>1</v>
      </c>
      <c r="W1330" t="s">
        <v>35</v>
      </c>
      <c r="X1330" t="s">
        <v>43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</row>
    <row r="1331" spans="1:36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f>FLOOR(Table1_2[[#This Row],[MonthlyIncome]],1000)</f>
        <v>2000</v>
      </c>
      <c r="T1331">
        <v>2804</v>
      </c>
      <c r="U1331">
        <v>15434</v>
      </c>
      <c r="V1331">
        <v>1</v>
      </c>
      <c r="W1331" t="s">
        <v>35</v>
      </c>
      <c r="X1331" t="s">
        <v>43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</row>
    <row r="1332" spans="1:36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f>FLOOR(Table1_2[[#This Row],[MonthlyIncome]],1000)</f>
        <v>19000</v>
      </c>
      <c r="T1332">
        <v>19392</v>
      </c>
      <c r="U1332">
        <v>22539</v>
      </c>
      <c r="V1332">
        <v>7</v>
      </c>
      <c r="W1332" t="s">
        <v>35</v>
      </c>
      <c r="X1332" t="s">
        <v>43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</row>
    <row r="1333" spans="1:36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f>FLOOR(Table1_2[[#This Row],[MonthlyIncome]],1000)</f>
        <v>19000</v>
      </c>
      <c r="T1333">
        <v>19665</v>
      </c>
      <c r="U1333">
        <v>13583</v>
      </c>
      <c r="V1333">
        <v>4</v>
      </c>
      <c r="W1333" t="s">
        <v>35</v>
      </c>
      <c r="X1333" t="s">
        <v>43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</row>
    <row r="1334" spans="1:36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f>FLOOR(Table1_2[[#This Row],[MonthlyIncome]],1000)</f>
        <v>2000</v>
      </c>
      <c r="T1334">
        <v>2439</v>
      </c>
      <c r="U1334">
        <v>14753</v>
      </c>
      <c r="V1334">
        <v>1</v>
      </c>
      <c r="W1334" t="s">
        <v>35</v>
      </c>
      <c r="X1334" t="s">
        <v>35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</row>
    <row r="1335" spans="1:36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f>FLOOR(Table1_2[[#This Row],[MonthlyIncome]],1000)</f>
        <v>7000</v>
      </c>
      <c r="T1335">
        <v>7314</v>
      </c>
      <c r="U1335">
        <v>14011</v>
      </c>
      <c r="V1335">
        <v>5</v>
      </c>
      <c r="W1335" t="s">
        <v>35</v>
      </c>
      <c r="X1335" t="s">
        <v>43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</row>
    <row r="1336" spans="1:36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f>FLOOR(Table1_2[[#This Row],[MonthlyIncome]],1000)</f>
        <v>4000</v>
      </c>
      <c r="T1336">
        <v>4774</v>
      </c>
      <c r="U1336">
        <v>23844</v>
      </c>
      <c r="V1336">
        <v>0</v>
      </c>
      <c r="W1336" t="s">
        <v>35</v>
      </c>
      <c r="X1336" t="s">
        <v>43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</row>
    <row r="1337" spans="1:36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f>FLOOR(Table1_2[[#This Row],[MonthlyIncome]],1000)</f>
        <v>3000</v>
      </c>
      <c r="T1337">
        <v>3902</v>
      </c>
      <c r="U1337">
        <v>5141</v>
      </c>
      <c r="V1337">
        <v>8</v>
      </c>
      <c r="W1337" t="s">
        <v>35</v>
      </c>
      <c r="X1337" t="s">
        <v>43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</row>
    <row r="1338" spans="1:36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f>FLOOR(Table1_2[[#This Row],[MonthlyIncome]],1000)</f>
        <v>2000</v>
      </c>
      <c r="T1338">
        <v>2662</v>
      </c>
      <c r="U1338">
        <v>7975</v>
      </c>
      <c r="V1338">
        <v>8</v>
      </c>
      <c r="W1338" t="s">
        <v>35</v>
      </c>
      <c r="X1338" t="s">
        <v>43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</row>
    <row r="1339" spans="1:36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f>FLOOR(Table1_2[[#This Row],[MonthlyIncome]],1000)</f>
        <v>2000</v>
      </c>
      <c r="T1339">
        <v>2856</v>
      </c>
      <c r="U1339">
        <v>3692</v>
      </c>
      <c r="V1339">
        <v>1</v>
      </c>
      <c r="W1339" t="s">
        <v>35</v>
      </c>
      <c r="X1339" t="s">
        <v>43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</row>
    <row r="1340" spans="1:36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f>FLOOR(Table1_2[[#This Row],[MonthlyIncome]],1000)</f>
        <v>1000</v>
      </c>
      <c r="T1340">
        <v>1081</v>
      </c>
      <c r="U1340">
        <v>16019</v>
      </c>
      <c r="V1340">
        <v>1</v>
      </c>
      <c r="W1340" t="s">
        <v>35</v>
      </c>
      <c r="X1340" t="s">
        <v>43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</row>
    <row r="1341" spans="1:36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f>FLOOR(Table1_2[[#This Row],[MonthlyIncome]],1000)</f>
        <v>2000</v>
      </c>
      <c r="T1341">
        <v>2472</v>
      </c>
      <c r="U1341">
        <v>26092</v>
      </c>
      <c r="V1341">
        <v>1</v>
      </c>
      <c r="W1341" t="s">
        <v>35</v>
      </c>
      <c r="X1341" t="s">
        <v>35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1:36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f>FLOOR(Table1_2[[#This Row],[MonthlyIncome]],1000)</f>
        <v>5000</v>
      </c>
      <c r="T1342">
        <v>5673</v>
      </c>
      <c r="U1342">
        <v>6060</v>
      </c>
      <c r="V1342">
        <v>1</v>
      </c>
      <c r="W1342" t="s">
        <v>35</v>
      </c>
      <c r="X1342" t="s">
        <v>35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</row>
    <row r="1343" spans="1:36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f>FLOOR(Table1_2[[#This Row],[MonthlyIncome]],1000)</f>
        <v>4000</v>
      </c>
      <c r="T1343">
        <v>4197</v>
      </c>
      <c r="U1343">
        <v>18624</v>
      </c>
      <c r="V1343">
        <v>1</v>
      </c>
      <c r="W1343" t="s">
        <v>35</v>
      </c>
      <c r="X1343" t="s">
        <v>43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</row>
    <row r="1344" spans="1:36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f>FLOOR(Table1_2[[#This Row],[MonthlyIncome]],1000)</f>
        <v>9000</v>
      </c>
      <c r="T1344">
        <v>9713</v>
      </c>
      <c r="U1344">
        <v>24444</v>
      </c>
      <c r="V1344">
        <v>2</v>
      </c>
      <c r="W1344" t="s">
        <v>35</v>
      </c>
      <c r="X1344" t="s">
        <v>35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</row>
    <row r="1345" spans="1:36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f>FLOOR(Table1_2[[#This Row],[MonthlyIncome]],1000)</f>
        <v>2000</v>
      </c>
      <c r="T1345">
        <v>2062</v>
      </c>
      <c r="U1345">
        <v>19384</v>
      </c>
      <c r="V1345">
        <v>3</v>
      </c>
      <c r="W1345" t="s">
        <v>35</v>
      </c>
      <c r="X1345" t="s">
        <v>43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</row>
    <row r="1346" spans="1:36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f>FLOOR(Table1_2[[#This Row],[MonthlyIncome]],1000)</f>
        <v>4000</v>
      </c>
      <c r="T1346">
        <v>4284</v>
      </c>
      <c r="U1346">
        <v>13588</v>
      </c>
      <c r="V1346">
        <v>5</v>
      </c>
      <c r="W1346" t="s">
        <v>35</v>
      </c>
      <c r="X1346" t="s">
        <v>35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</row>
    <row r="1347" spans="1:36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f>FLOOR(Table1_2[[#This Row],[MonthlyIncome]],1000)</f>
        <v>4000</v>
      </c>
      <c r="T1347">
        <v>4788</v>
      </c>
      <c r="U1347">
        <v>25388</v>
      </c>
      <c r="V1347">
        <v>0</v>
      </c>
      <c r="W1347" t="s">
        <v>35</v>
      </c>
      <c r="X1347" t="s">
        <v>35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</row>
    <row r="1348" spans="1:36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f>FLOOR(Table1_2[[#This Row],[MonthlyIncome]],1000)</f>
        <v>5000</v>
      </c>
      <c r="T1348">
        <v>5906</v>
      </c>
      <c r="U1348">
        <v>23888</v>
      </c>
      <c r="V1348">
        <v>0</v>
      </c>
      <c r="W1348" t="s">
        <v>35</v>
      </c>
      <c r="X1348" t="s">
        <v>43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</row>
    <row r="1349" spans="1:36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f>FLOOR(Table1_2[[#This Row],[MonthlyIncome]],1000)</f>
        <v>3000</v>
      </c>
      <c r="T1349">
        <v>3886</v>
      </c>
      <c r="U1349">
        <v>4223</v>
      </c>
      <c r="V1349">
        <v>1</v>
      </c>
      <c r="W1349" t="s">
        <v>35</v>
      </c>
      <c r="X1349" t="s">
        <v>43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</row>
    <row r="1350" spans="1:36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f>FLOOR(Table1_2[[#This Row],[MonthlyIncome]],1000)</f>
        <v>16000</v>
      </c>
      <c r="T1350">
        <v>16823</v>
      </c>
      <c r="U1350">
        <v>18991</v>
      </c>
      <c r="V1350">
        <v>2</v>
      </c>
      <c r="W1350" t="s">
        <v>35</v>
      </c>
      <c r="X1350" t="s">
        <v>43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</row>
    <row r="1351" spans="1:36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f>FLOOR(Table1_2[[#This Row],[MonthlyIncome]],1000)</f>
        <v>2000</v>
      </c>
      <c r="T1351">
        <v>2933</v>
      </c>
      <c r="U1351">
        <v>14908</v>
      </c>
      <c r="V1351">
        <v>1</v>
      </c>
      <c r="W1351" t="s">
        <v>35</v>
      </c>
      <c r="X1351" t="s">
        <v>35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</row>
    <row r="1352" spans="1:36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f>FLOOR(Table1_2[[#This Row],[MonthlyIncome]],1000)</f>
        <v>6000</v>
      </c>
      <c r="T1352">
        <v>6500</v>
      </c>
      <c r="U1352">
        <v>26997</v>
      </c>
      <c r="V1352">
        <v>0</v>
      </c>
      <c r="W1352" t="s">
        <v>35</v>
      </c>
      <c r="X1352" t="s">
        <v>43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</row>
    <row r="1353" spans="1:36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f>FLOOR(Table1_2[[#This Row],[MonthlyIncome]],1000)</f>
        <v>17000</v>
      </c>
      <c r="T1353">
        <v>17174</v>
      </c>
      <c r="U1353">
        <v>2437</v>
      </c>
      <c r="V1353">
        <v>3</v>
      </c>
      <c r="W1353" t="s">
        <v>35</v>
      </c>
      <c r="X1353" t="s">
        <v>43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</row>
    <row r="1354" spans="1:36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f>FLOOR(Table1_2[[#This Row],[MonthlyIncome]],1000)</f>
        <v>5000</v>
      </c>
      <c r="T1354">
        <v>5033</v>
      </c>
      <c r="U1354">
        <v>9364</v>
      </c>
      <c r="V1354">
        <v>2</v>
      </c>
      <c r="W1354" t="s">
        <v>35</v>
      </c>
      <c r="X1354" t="s">
        <v>43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</row>
    <row r="1355" spans="1:36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f>FLOOR(Table1_2[[#This Row],[MonthlyIncome]],1000)</f>
        <v>2000</v>
      </c>
      <c r="T1355">
        <v>2307</v>
      </c>
      <c r="U1355">
        <v>14460</v>
      </c>
      <c r="V1355">
        <v>1</v>
      </c>
      <c r="W1355" t="s">
        <v>35</v>
      </c>
      <c r="X1355" t="s">
        <v>35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</row>
    <row r="1356" spans="1:36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f>FLOOR(Table1_2[[#This Row],[MonthlyIncome]],1000)</f>
        <v>2000</v>
      </c>
      <c r="T1356">
        <v>2587</v>
      </c>
      <c r="U1356">
        <v>10261</v>
      </c>
      <c r="V1356">
        <v>1</v>
      </c>
      <c r="W1356" t="s">
        <v>35</v>
      </c>
      <c r="X1356" t="s">
        <v>43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</row>
    <row r="1357" spans="1:36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f>FLOOR(Table1_2[[#This Row],[MonthlyIncome]],1000)</f>
        <v>5000</v>
      </c>
      <c r="T1357">
        <v>5507</v>
      </c>
      <c r="U1357">
        <v>16822</v>
      </c>
      <c r="V1357">
        <v>2</v>
      </c>
      <c r="W1357" t="s">
        <v>35</v>
      </c>
      <c r="X1357" t="s">
        <v>43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</row>
    <row r="1358" spans="1:36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f>FLOOR(Table1_2[[#This Row],[MonthlyIncome]],1000)</f>
        <v>4000</v>
      </c>
      <c r="T1358">
        <v>4393</v>
      </c>
      <c r="U1358">
        <v>26841</v>
      </c>
      <c r="V1358">
        <v>5</v>
      </c>
      <c r="W1358" t="s">
        <v>35</v>
      </c>
      <c r="X1358" t="s">
        <v>43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</row>
    <row r="1359" spans="1:36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f>FLOOR(Table1_2[[#This Row],[MonthlyIncome]],1000)</f>
        <v>13000</v>
      </c>
      <c r="T1359">
        <v>13348</v>
      </c>
      <c r="U1359">
        <v>14842</v>
      </c>
      <c r="V1359">
        <v>9</v>
      </c>
      <c r="W1359" t="s">
        <v>35</v>
      </c>
      <c r="X1359" t="s">
        <v>43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</row>
    <row r="1360" spans="1:36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f>FLOOR(Table1_2[[#This Row],[MonthlyIncome]],1000)</f>
        <v>6000</v>
      </c>
      <c r="T1360">
        <v>6583</v>
      </c>
      <c r="U1360">
        <v>20115</v>
      </c>
      <c r="V1360">
        <v>2</v>
      </c>
      <c r="W1360" t="s">
        <v>35</v>
      </c>
      <c r="X1360" t="s">
        <v>35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</row>
    <row r="1361" spans="1:36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f>FLOOR(Table1_2[[#This Row],[MonthlyIncome]],1000)</f>
        <v>8000</v>
      </c>
      <c r="T1361">
        <v>8103</v>
      </c>
      <c r="U1361">
        <v>16495</v>
      </c>
      <c r="V1361">
        <v>3</v>
      </c>
      <c r="W1361" t="s">
        <v>35</v>
      </c>
      <c r="X1361" t="s">
        <v>35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</row>
    <row r="1362" spans="1:36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f>FLOOR(Table1_2[[#This Row],[MonthlyIncome]],1000)</f>
        <v>3000</v>
      </c>
      <c r="T1362">
        <v>3978</v>
      </c>
      <c r="U1362">
        <v>16031</v>
      </c>
      <c r="V1362">
        <v>8</v>
      </c>
      <c r="W1362" t="s">
        <v>35</v>
      </c>
      <c r="X1362" t="s">
        <v>43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</row>
    <row r="1363" spans="1:36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f>FLOOR(Table1_2[[#This Row],[MonthlyIncome]],1000)</f>
        <v>2000</v>
      </c>
      <c r="T1363">
        <v>2544</v>
      </c>
      <c r="U1363">
        <v>7102</v>
      </c>
      <c r="V1363">
        <v>0</v>
      </c>
      <c r="W1363" t="s">
        <v>35</v>
      </c>
      <c r="X1363" t="s">
        <v>43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</row>
    <row r="1364" spans="1:36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f>FLOOR(Table1_2[[#This Row],[MonthlyIncome]],1000)</f>
        <v>5000</v>
      </c>
      <c r="T1364">
        <v>5399</v>
      </c>
      <c r="U1364">
        <v>14511</v>
      </c>
      <c r="V1364">
        <v>4</v>
      </c>
      <c r="W1364" t="s">
        <v>35</v>
      </c>
      <c r="X1364" t="s">
        <v>43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</row>
    <row r="1365" spans="1:36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f>FLOOR(Table1_2[[#This Row],[MonthlyIncome]],1000)</f>
        <v>5000</v>
      </c>
      <c r="T1365">
        <v>5487</v>
      </c>
      <c r="U1365">
        <v>10410</v>
      </c>
      <c r="V1365">
        <v>1</v>
      </c>
      <c r="W1365" t="s">
        <v>35</v>
      </c>
      <c r="X1365" t="s">
        <v>43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</row>
    <row r="1366" spans="1:36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f>FLOOR(Table1_2[[#This Row],[MonthlyIncome]],1000)</f>
        <v>6000</v>
      </c>
      <c r="T1366">
        <v>6834</v>
      </c>
      <c r="U1366">
        <v>19255</v>
      </c>
      <c r="V1366">
        <v>1</v>
      </c>
      <c r="W1366" t="s">
        <v>35</v>
      </c>
      <c r="X1366" t="s">
        <v>35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</row>
    <row r="1367" spans="1:36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f>FLOOR(Table1_2[[#This Row],[MonthlyIncome]],1000)</f>
        <v>1000</v>
      </c>
      <c r="T1367">
        <v>1091</v>
      </c>
      <c r="U1367">
        <v>10642</v>
      </c>
      <c r="V1367">
        <v>1</v>
      </c>
      <c r="W1367" t="s">
        <v>35</v>
      </c>
      <c r="X1367" t="s">
        <v>43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</row>
    <row r="1368" spans="1:36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f>FLOOR(Table1_2[[#This Row],[MonthlyIncome]],1000)</f>
        <v>5000</v>
      </c>
      <c r="T1368">
        <v>5736</v>
      </c>
      <c r="U1368">
        <v>3987</v>
      </c>
      <c r="V1368">
        <v>6</v>
      </c>
      <c r="W1368" t="s">
        <v>35</v>
      </c>
      <c r="X1368" t="s">
        <v>43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</row>
    <row r="1369" spans="1:36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f>FLOOR(Table1_2[[#This Row],[MonthlyIncome]],1000)</f>
        <v>2000</v>
      </c>
      <c r="T1369">
        <v>2226</v>
      </c>
      <c r="U1369">
        <v>6073</v>
      </c>
      <c r="V1369">
        <v>1</v>
      </c>
      <c r="W1369" t="s">
        <v>35</v>
      </c>
      <c r="X1369" t="s">
        <v>43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</row>
    <row r="1370" spans="1:36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f>FLOOR(Table1_2[[#This Row],[MonthlyIncome]],1000)</f>
        <v>5000</v>
      </c>
      <c r="T1370">
        <v>5747</v>
      </c>
      <c r="U1370">
        <v>26496</v>
      </c>
      <c r="V1370">
        <v>1</v>
      </c>
      <c r="W1370" t="s">
        <v>35</v>
      </c>
      <c r="X1370" t="s">
        <v>35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</row>
    <row r="1371" spans="1:36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f>FLOOR(Table1_2[[#This Row],[MonthlyIncome]],1000)</f>
        <v>9000</v>
      </c>
      <c r="T1371">
        <v>9854</v>
      </c>
      <c r="U1371">
        <v>23352</v>
      </c>
      <c r="V1371">
        <v>3</v>
      </c>
      <c r="W1371" t="s">
        <v>35</v>
      </c>
      <c r="X1371" t="s">
        <v>35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</row>
    <row r="1372" spans="1:36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f>FLOOR(Table1_2[[#This Row],[MonthlyIncome]],1000)</f>
        <v>5000</v>
      </c>
      <c r="T1372">
        <v>5467</v>
      </c>
      <c r="U1372">
        <v>2125</v>
      </c>
      <c r="V1372">
        <v>8</v>
      </c>
      <c r="W1372" t="s">
        <v>35</v>
      </c>
      <c r="X1372" t="s">
        <v>43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</row>
    <row r="1373" spans="1:36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f>FLOOR(Table1_2[[#This Row],[MonthlyIncome]],1000)</f>
        <v>5000</v>
      </c>
      <c r="T1373">
        <v>5380</v>
      </c>
      <c r="U1373">
        <v>20328</v>
      </c>
      <c r="V1373">
        <v>4</v>
      </c>
      <c r="W1373" t="s">
        <v>35</v>
      </c>
      <c r="X1373" t="s">
        <v>43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</row>
    <row r="1374" spans="1:36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f>FLOOR(Table1_2[[#This Row],[MonthlyIncome]],1000)</f>
        <v>5000</v>
      </c>
      <c r="T1374">
        <v>5151</v>
      </c>
      <c r="U1374">
        <v>12315</v>
      </c>
      <c r="V1374">
        <v>1</v>
      </c>
      <c r="W1374" t="s">
        <v>35</v>
      </c>
      <c r="X1374" t="s">
        <v>43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</row>
    <row r="1375" spans="1:36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f>FLOOR(Table1_2[[#This Row],[MonthlyIncome]],1000)</f>
        <v>2000</v>
      </c>
      <c r="T1375">
        <v>2133</v>
      </c>
      <c r="U1375">
        <v>18115</v>
      </c>
      <c r="V1375">
        <v>1</v>
      </c>
      <c r="W1375" t="s">
        <v>35</v>
      </c>
      <c r="X1375" t="s">
        <v>35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</row>
    <row r="1376" spans="1:36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f>FLOOR(Table1_2[[#This Row],[MonthlyIncome]],1000)</f>
        <v>17000</v>
      </c>
      <c r="T1376">
        <v>17875</v>
      </c>
      <c r="U1376">
        <v>11761</v>
      </c>
      <c r="V1376">
        <v>4</v>
      </c>
      <c r="W1376" t="s">
        <v>35</v>
      </c>
      <c r="X1376" t="s">
        <v>35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</row>
    <row r="1377" spans="1:36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f>FLOOR(Table1_2[[#This Row],[MonthlyIncome]],1000)</f>
        <v>2000</v>
      </c>
      <c r="T1377">
        <v>2432</v>
      </c>
      <c r="U1377">
        <v>15318</v>
      </c>
      <c r="V1377">
        <v>3</v>
      </c>
      <c r="W1377" t="s">
        <v>35</v>
      </c>
      <c r="X1377" t="s">
        <v>35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</row>
    <row r="1378" spans="1:36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f>FLOOR(Table1_2[[#This Row],[MonthlyIncome]],1000)</f>
        <v>4000</v>
      </c>
      <c r="T1378">
        <v>4771</v>
      </c>
      <c r="U1378">
        <v>14293</v>
      </c>
      <c r="V1378">
        <v>2</v>
      </c>
      <c r="W1378" t="s">
        <v>35</v>
      </c>
      <c r="X1378" t="s">
        <v>43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</row>
    <row r="1379" spans="1:36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f>FLOOR(Table1_2[[#This Row],[MonthlyIncome]],1000)</f>
        <v>19000</v>
      </c>
      <c r="T1379">
        <v>19161</v>
      </c>
      <c r="U1379">
        <v>13738</v>
      </c>
      <c r="V1379">
        <v>3</v>
      </c>
      <c r="W1379" t="s">
        <v>35</v>
      </c>
      <c r="X1379" t="s">
        <v>43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</row>
    <row r="1380" spans="1:36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f>FLOOR(Table1_2[[#This Row],[MonthlyIncome]],1000)</f>
        <v>5000</v>
      </c>
      <c r="T1380">
        <v>5087</v>
      </c>
      <c r="U1380">
        <v>2900</v>
      </c>
      <c r="V1380">
        <v>3</v>
      </c>
      <c r="W1380" t="s">
        <v>35</v>
      </c>
      <c r="X1380" t="s">
        <v>35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</row>
    <row r="1381" spans="1:36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f>FLOOR(Table1_2[[#This Row],[MonthlyIncome]],1000)</f>
        <v>2000</v>
      </c>
      <c r="T1381">
        <v>2863</v>
      </c>
      <c r="U1381">
        <v>19555</v>
      </c>
      <c r="V1381">
        <v>1</v>
      </c>
      <c r="W1381" t="s">
        <v>35</v>
      </c>
      <c r="X1381" t="s">
        <v>43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</row>
    <row r="1382" spans="1:36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f>FLOOR(Table1_2[[#This Row],[MonthlyIncome]],1000)</f>
        <v>5000</v>
      </c>
      <c r="T1382">
        <v>5561</v>
      </c>
      <c r="U1382">
        <v>15975</v>
      </c>
      <c r="V1382">
        <v>0</v>
      </c>
      <c r="W1382" t="s">
        <v>35</v>
      </c>
      <c r="X1382" t="s">
        <v>43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</row>
    <row r="1383" spans="1:36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f>FLOOR(Table1_2[[#This Row],[MonthlyIncome]],1000)</f>
        <v>2000</v>
      </c>
      <c r="T1383">
        <v>2144</v>
      </c>
      <c r="U1383">
        <v>2122</v>
      </c>
      <c r="V1383">
        <v>1</v>
      </c>
      <c r="W1383" t="s">
        <v>35</v>
      </c>
      <c r="X1383" t="s">
        <v>43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</row>
    <row r="1384" spans="1:36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f>FLOOR(Table1_2[[#This Row],[MonthlyIncome]],1000)</f>
        <v>3000</v>
      </c>
      <c r="T1384">
        <v>3065</v>
      </c>
      <c r="U1384">
        <v>3995</v>
      </c>
      <c r="V1384">
        <v>1</v>
      </c>
      <c r="W1384" t="s">
        <v>35</v>
      </c>
      <c r="X1384" t="s">
        <v>35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</row>
    <row r="1385" spans="1:36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f>FLOOR(Table1_2[[#This Row],[MonthlyIncome]],1000)</f>
        <v>2000</v>
      </c>
      <c r="T1385">
        <v>2810</v>
      </c>
      <c r="U1385">
        <v>9238</v>
      </c>
      <c r="V1385">
        <v>1</v>
      </c>
      <c r="W1385" t="s">
        <v>35</v>
      </c>
      <c r="X1385" t="s">
        <v>43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</row>
    <row r="1386" spans="1:36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f>FLOOR(Table1_2[[#This Row],[MonthlyIncome]],1000)</f>
        <v>9000</v>
      </c>
      <c r="T1386">
        <v>9888</v>
      </c>
      <c r="U1386">
        <v>6770</v>
      </c>
      <c r="V1386">
        <v>1</v>
      </c>
      <c r="W1386" t="s">
        <v>35</v>
      </c>
      <c r="X1386" t="s">
        <v>43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</row>
    <row r="1387" spans="1:36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f>FLOOR(Table1_2[[#This Row],[MonthlyIncome]],1000)</f>
        <v>8000</v>
      </c>
      <c r="T1387">
        <v>8628</v>
      </c>
      <c r="U1387">
        <v>22914</v>
      </c>
      <c r="V1387">
        <v>1</v>
      </c>
      <c r="W1387" t="s">
        <v>35</v>
      </c>
      <c r="X1387" t="s">
        <v>43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</row>
    <row r="1388" spans="1:36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f>FLOOR(Table1_2[[#This Row],[MonthlyIncome]],1000)</f>
        <v>2000</v>
      </c>
      <c r="T1388">
        <v>2867</v>
      </c>
      <c r="U1388">
        <v>20006</v>
      </c>
      <c r="V1388">
        <v>0</v>
      </c>
      <c r="W1388" t="s">
        <v>35</v>
      </c>
      <c r="X1388" t="s">
        <v>43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</row>
    <row r="1389" spans="1:36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f>FLOOR(Table1_2[[#This Row],[MonthlyIncome]],1000)</f>
        <v>5000</v>
      </c>
      <c r="T1389">
        <v>5373</v>
      </c>
      <c r="U1389">
        <v>6225</v>
      </c>
      <c r="V1389">
        <v>0</v>
      </c>
      <c r="W1389" t="s">
        <v>35</v>
      </c>
      <c r="X1389" t="s">
        <v>43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</row>
    <row r="1390" spans="1:36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f>FLOOR(Table1_2[[#This Row],[MonthlyIncome]],1000)</f>
        <v>6000</v>
      </c>
      <c r="T1390">
        <v>6667</v>
      </c>
      <c r="U1390">
        <v>16542</v>
      </c>
      <c r="V1390">
        <v>5</v>
      </c>
      <c r="W1390" t="s">
        <v>35</v>
      </c>
      <c r="X1390" t="s">
        <v>43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</row>
    <row r="1391" spans="1:36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f>FLOOR(Table1_2[[#This Row],[MonthlyIncome]],1000)</f>
        <v>5000</v>
      </c>
      <c r="T1391">
        <v>5003</v>
      </c>
      <c r="U1391">
        <v>5771</v>
      </c>
      <c r="V1391">
        <v>1</v>
      </c>
      <c r="W1391" t="s">
        <v>35</v>
      </c>
      <c r="X1391" t="s">
        <v>43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</row>
    <row r="1392" spans="1:36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f>FLOOR(Table1_2[[#This Row],[MonthlyIncome]],1000)</f>
        <v>2000</v>
      </c>
      <c r="T1392">
        <v>2367</v>
      </c>
      <c r="U1392">
        <v>18779</v>
      </c>
      <c r="V1392">
        <v>5</v>
      </c>
      <c r="W1392" t="s">
        <v>35</v>
      </c>
      <c r="X1392" t="s">
        <v>43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</row>
    <row r="1393" spans="1:36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f>FLOOR(Table1_2[[#This Row],[MonthlyIncome]],1000)</f>
        <v>2000</v>
      </c>
      <c r="T1393">
        <v>2858</v>
      </c>
      <c r="U1393">
        <v>11473</v>
      </c>
      <c r="V1393">
        <v>4</v>
      </c>
      <c r="W1393" t="s">
        <v>35</v>
      </c>
      <c r="X1393" t="s">
        <v>43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</row>
    <row r="1394" spans="1:36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f>FLOOR(Table1_2[[#This Row],[MonthlyIncome]],1000)</f>
        <v>5000</v>
      </c>
      <c r="T1394">
        <v>5204</v>
      </c>
      <c r="U1394">
        <v>13586</v>
      </c>
      <c r="V1394">
        <v>1</v>
      </c>
      <c r="W1394" t="s">
        <v>35</v>
      </c>
      <c r="X1394" t="s">
        <v>35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</row>
    <row r="1395" spans="1:36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f>FLOOR(Table1_2[[#This Row],[MonthlyIncome]],1000)</f>
        <v>4000</v>
      </c>
      <c r="T1395">
        <v>4105</v>
      </c>
      <c r="U1395">
        <v>5099</v>
      </c>
      <c r="V1395">
        <v>1</v>
      </c>
      <c r="W1395" t="s">
        <v>35</v>
      </c>
      <c r="X1395" t="s">
        <v>43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</row>
    <row r="1396" spans="1:36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f>FLOOR(Table1_2[[#This Row],[MonthlyIncome]],1000)</f>
        <v>9000</v>
      </c>
      <c r="T1396">
        <v>9679</v>
      </c>
      <c r="U1396">
        <v>10138</v>
      </c>
      <c r="V1396">
        <v>8</v>
      </c>
      <c r="W1396" t="s">
        <v>35</v>
      </c>
      <c r="X1396" t="s">
        <v>43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</row>
    <row r="1397" spans="1:36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f>FLOOR(Table1_2[[#This Row],[MonthlyIncome]],1000)</f>
        <v>5000</v>
      </c>
      <c r="T1397">
        <v>5617</v>
      </c>
      <c r="U1397">
        <v>21075</v>
      </c>
      <c r="V1397">
        <v>1</v>
      </c>
      <c r="W1397" t="s">
        <v>35</v>
      </c>
      <c r="X1397" t="s">
        <v>35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</row>
    <row r="1398" spans="1:36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f>FLOOR(Table1_2[[#This Row],[MonthlyIncome]],1000)</f>
        <v>10000</v>
      </c>
      <c r="T1398">
        <v>10448</v>
      </c>
      <c r="U1398">
        <v>5843</v>
      </c>
      <c r="V1398">
        <v>6</v>
      </c>
      <c r="W1398" t="s">
        <v>35</v>
      </c>
      <c r="X1398" t="s">
        <v>35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</row>
    <row r="1399" spans="1:36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f>FLOOR(Table1_2[[#This Row],[MonthlyIncome]],1000)</f>
        <v>2000</v>
      </c>
      <c r="T1399">
        <v>2897</v>
      </c>
      <c r="U1399">
        <v>22474</v>
      </c>
      <c r="V1399">
        <v>3</v>
      </c>
      <c r="W1399" t="s">
        <v>35</v>
      </c>
      <c r="X1399" t="s">
        <v>43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</row>
    <row r="1400" spans="1:36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f>FLOOR(Table1_2[[#This Row],[MonthlyIncome]],1000)</f>
        <v>5000</v>
      </c>
      <c r="T1400">
        <v>5968</v>
      </c>
      <c r="U1400">
        <v>18079</v>
      </c>
      <c r="V1400">
        <v>1</v>
      </c>
      <c r="W1400" t="s">
        <v>35</v>
      </c>
      <c r="X1400" t="s">
        <v>43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</row>
    <row r="1401" spans="1:36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f>FLOOR(Table1_2[[#This Row],[MonthlyIncome]],1000)</f>
        <v>7000</v>
      </c>
      <c r="T1401">
        <v>7510</v>
      </c>
      <c r="U1401">
        <v>16873</v>
      </c>
      <c r="V1401">
        <v>1</v>
      </c>
      <c r="W1401" t="s">
        <v>35</v>
      </c>
      <c r="X1401" t="s">
        <v>43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</row>
    <row r="1402" spans="1:36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f>FLOOR(Table1_2[[#This Row],[MonthlyIncome]],1000)</f>
        <v>2000</v>
      </c>
      <c r="T1402">
        <v>2991</v>
      </c>
      <c r="U1402">
        <v>5224</v>
      </c>
      <c r="V1402">
        <v>0</v>
      </c>
      <c r="W1402" t="s">
        <v>35</v>
      </c>
      <c r="X1402" t="s">
        <v>35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</row>
    <row r="1403" spans="1:36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f>FLOOR(Table1_2[[#This Row],[MonthlyIncome]],1000)</f>
        <v>19000</v>
      </c>
      <c r="T1403">
        <v>19636</v>
      </c>
      <c r="U1403">
        <v>25811</v>
      </c>
      <c r="V1403">
        <v>4</v>
      </c>
      <c r="W1403" t="s">
        <v>35</v>
      </c>
      <c r="X1403" t="s">
        <v>35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</row>
    <row r="1404" spans="1:36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f>FLOOR(Table1_2[[#This Row],[MonthlyIncome]],1000)</f>
        <v>1000</v>
      </c>
      <c r="T1404">
        <v>1129</v>
      </c>
      <c r="U1404">
        <v>17536</v>
      </c>
      <c r="V1404">
        <v>1</v>
      </c>
      <c r="W1404" t="s">
        <v>35</v>
      </c>
      <c r="X1404" t="s">
        <v>35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</row>
    <row r="1405" spans="1:36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f>FLOOR(Table1_2[[#This Row],[MonthlyIncome]],1000)</f>
        <v>13000</v>
      </c>
      <c r="T1405">
        <v>13341</v>
      </c>
      <c r="U1405">
        <v>25098</v>
      </c>
      <c r="V1405">
        <v>0</v>
      </c>
      <c r="W1405" t="s">
        <v>35</v>
      </c>
      <c r="X1405" t="s">
        <v>43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</row>
    <row r="1406" spans="1:36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f>FLOOR(Table1_2[[#This Row],[MonthlyIncome]],1000)</f>
        <v>4000</v>
      </c>
      <c r="T1406">
        <v>4332</v>
      </c>
      <c r="U1406">
        <v>14811</v>
      </c>
      <c r="V1406">
        <v>1</v>
      </c>
      <c r="W1406" t="s">
        <v>35</v>
      </c>
      <c r="X1406" t="s">
        <v>43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</row>
    <row r="1407" spans="1:36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f>FLOOR(Table1_2[[#This Row],[MonthlyIncome]],1000)</f>
        <v>11000</v>
      </c>
      <c r="T1407">
        <v>11031</v>
      </c>
      <c r="U1407">
        <v>26862</v>
      </c>
      <c r="V1407">
        <v>4</v>
      </c>
      <c r="W1407" t="s">
        <v>35</v>
      </c>
      <c r="X1407" t="s">
        <v>43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</row>
    <row r="1408" spans="1:36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f>FLOOR(Table1_2[[#This Row],[MonthlyIncome]],1000)</f>
        <v>4000</v>
      </c>
      <c r="T1408">
        <v>4440</v>
      </c>
      <c r="U1408">
        <v>25198</v>
      </c>
      <c r="V1408">
        <v>6</v>
      </c>
      <c r="W1408" t="s">
        <v>35</v>
      </c>
      <c r="X1408" t="s">
        <v>35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</row>
    <row r="1409" spans="1:36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f>FLOOR(Table1_2[[#This Row],[MonthlyIncome]],1000)</f>
        <v>4000</v>
      </c>
      <c r="T1409">
        <v>4617</v>
      </c>
      <c r="U1409">
        <v>14120</v>
      </c>
      <c r="V1409">
        <v>1</v>
      </c>
      <c r="W1409" t="s">
        <v>35</v>
      </c>
      <c r="X1409" t="s">
        <v>43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</row>
    <row r="1410" spans="1:36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f>FLOOR(Table1_2[[#This Row],[MonthlyIncome]],1000)</f>
        <v>2000</v>
      </c>
      <c r="T1410">
        <v>2647</v>
      </c>
      <c r="U1410">
        <v>13672</v>
      </c>
      <c r="V1410">
        <v>1</v>
      </c>
      <c r="W1410" t="s">
        <v>35</v>
      </c>
      <c r="X1410" t="s">
        <v>43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</row>
    <row r="1411" spans="1:36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f>FLOOR(Table1_2[[#This Row],[MonthlyIncome]],1000)</f>
        <v>6000</v>
      </c>
      <c r="T1411">
        <v>6323</v>
      </c>
      <c r="U1411">
        <v>26849</v>
      </c>
      <c r="V1411">
        <v>1</v>
      </c>
      <c r="W1411" t="s">
        <v>35</v>
      </c>
      <c r="X1411" t="s">
        <v>43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</row>
    <row r="1412" spans="1:36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f>FLOOR(Table1_2[[#This Row],[MonthlyIncome]],1000)</f>
        <v>5000</v>
      </c>
      <c r="T1412">
        <v>5677</v>
      </c>
      <c r="U1412">
        <v>4258</v>
      </c>
      <c r="V1412">
        <v>3</v>
      </c>
      <c r="W1412" t="s">
        <v>35</v>
      </c>
      <c r="X1412" t="s">
        <v>43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</row>
    <row r="1413" spans="1:36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f>FLOOR(Table1_2[[#This Row],[MonthlyIncome]],1000)</f>
        <v>2000</v>
      </c>
      <c r="T1413">
        <v>2187</v>
      </c>
      <c r="U1413">
        <v>19655</v>
      </c>
      <c r="V1413">
        <v>4</v>
      </c>
      <c r="W1413" t="s">
        <v>35</v>
      </c>
      <c r="X1413" t="s">
        <v>43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</row>
    <row r="1414" spans="1:36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f>FLOOR(Table1_2[[#This Row],[MonthlyIncome]],1000)</f>
        <v>3000</v>
      </c>
      <c r="T1414">
        <v>3748</v>
      </c>
      <c r="U1414">
        <v>4077</v>
      </c>
      <c r="V1414">
        <v>1</v>
      </c>
      <c r="W1414" t="s">
        <v>35</v>
      </c>
      <c r="X1414" t="s">
        <v>43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</row>
    <row r="1415" spans="1:36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f>FLOOR(Table1_2[[#This Row],[MonthlyIncome]],1000)</f>
        <v>3000</v>
      </c>
      <c r="T1415">
        <v>3977</v>
      </c>
      <c r="U1415">
        <v>7298</v>
      </c>
      <c r="V1415">
        <v>6</v>
      </c>
      <c r="W1415" t="s">
        <v>35</v>
      </c>
      <c r="X1415" t="s">
        <v>35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</row>
    <row r="1416" spans="1:36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f>FLOOR(Table1_2[[#This Row],[MonthlyIncome]],1000)</f>
        <v>8000</v>
      </c>
      <c r="T1416">
        <v>8633</v>
      </c>
      <c r="U1416">
        <v>13084</v>
      </c>
      <c r="V1416">
        <v>2</v>
      </c>
      <c r="W1416" t="s">
        <v>35</v>
      </c>
      <c r="X1416" t="s">
        <v>43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</row>
    <row r="1417" spans="1:36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f>FLOOR(Table1_2[[#This Row],[MonthlyIncome]],1000)</f>
        <v>2000</v>
      </c>
      <c r="T1417">
        <v>2008</v>
      </c>
      <c r="U1417">
        <v>20439</v>
      </c>
      <c r="V1417">
        <v>1</v>
      </c>
      <c r="W1417" t="s">
        <v>35</v>
      </c>
      <c r="X1417" t="s">
        <v>43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</row>
    <row r="1418" spans="1:36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f>FLOOR(Table1_2[[#This Row],[MonthlyIncome]],1000)</f>
        <v>4000</v>
      </c>
      <c r="T1418">
        <v>4440</v>
      </c>
      <c r="U1418">
        <v>7636</v>
      </c>
      <c r="V1418">
        <v>0</v>
      </c>
      <c r="W1418" t="s">
        <v>35</v>
      </c>
      <c r="X1418" t="s">
        <v>43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</row>
    <row r="1419" spans="1:36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f>FLOOR(Table1_2[[#This Row],[MonthlyIncome]],1000)</f>
        <v>3000</v>
      </c>
      <c r="T1419">
        <v>3067</v>
      </c>
      <c r="U1419">
        <v>6393</v>
      </c>
      <c r="V1419">
        <v>0</v>
      </c>
      <c r="W1419" t="s">
        <v>35</v>
      </c>
      <c r="X1419" t="s">
        <v>43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</row>
    <row r="1420" spans="1:36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f>FLOOR(Table1_2[[#This Row],[MonthlyIncome]],1000)</f>
        <v>5000</v>
      </c>
      <c r="T1420">
        <v>5321</v>
      </c>
      <c r="U1420">
        <v>14284</v>
      </c>
      <c r="V1420">
        <v>2</v>
      </c>
      <c r="W1420" t="s">
        <v>35</v>
      </c>
      <c r="X1420" t="s">
        <v>43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</row>
    <row r="1421" spans="1:36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f>FLOOR(Table1_2[[#This Row],[MonthlyIncome]],1000)</f>
        <v>5000</v>
      </c>
      <c r="T1421">
        <v>5410</v>
      </c>
      <c r="U1421">
        <v>11189</v>
      </c>
      <c r="V1421">
        <v>6</v>
      </c>
      <c r="W1421" t="s">
        <v>35</v>
      </c>
      <c r="X1421" t="s">
        <v>35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</row>
    <row r="1422" spans="1:36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f>FLOOR(Table1_2[[#This Row],[MonthlyIncome]],1000)</f>
        <v>2000</v>
      </c>
      <c r="T1422">
        <v>2782</v>
      </c>
      <c r="U1422">
        <v>21412</v>
      </c>
      <c r="V1422">
        <v>3</v>
      </c>
      <c r="W1422" t="s">
        <v>35</v>
      </c>
      <c r="X1422" t="s">
        <v>43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</row>
    <row r="1423" spans="1:36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f>FLOOR(Table1_2[[#This Row],[MonthlyIncome]],1000)</f>
        <v>11000</v>
      </c>
      <c r="T1423">
        <v>11957</v>
      </c>
      <c r="U1423">
        <v>17231</v>
      </c>
      <c r="V1423">
        <v>0</v>
      </c>
      <c r="W1423" t="s">
        <v>35</v>
      </c>
      <c r="X1423" t="s">
        <v>43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</row>
    <row r="1424" spans="1:36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f>FLOOR(Table1_2[[#This Row],[MonthlyIncome]],1000)</f>
        <v>2000</v>
      </c>
      <c r="T1424">
        <v>2660</v>
      </c>
      <c r="U1424">
        <v>20232</v>
      </c>
      <c r="V1424">
        <v>7</v>
      </c>
      <c r="W1424" t="s">
        <v>35</v>
      </c>
      <c r="X1424" t="s">
        <v>35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</row>
    <row r="1425" spans="1:36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f>FLOOR(Table1_2[[#This Row],[MonthlyIncome]],1000)</f>
        <v>3000</v>
      </c>
      <c r="T1425">
        <v>3375</v>
      </c>
      <c r="U1425">
        <v>17624</v>
      </c>
      <c r="V1425">
        <v>0</v>
      </c>
      <c r="W1425" t="s">
        <v>35</v>
      </c>
      <c r="X1425" t="s">
        <v>43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</row>
    <row r="1426" spans="1:36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f>FLOOR(Table1_2[[#This Row],[MonthlyIncome]],1000)</f>
        <v>5000</v>
      </c>
      <c r="T1426">
        <v>5098</v>
      </c>
      <c r="U1426">
        <v>18698</v>
      </c>
      <c r="V1426">
        <v>1</v>
      </c>
      <c r="W1426" t="s">
        <v>35</v>
      </c>
      <c r="X1426" t="s">
        <v>43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</row>
    <row r="1427" spans="1:36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f>FLOOR(Table1_2[[#This Row],[MonthlyIncome]],1000)</f>
        <v>4000</v>
      </c>
      <c r="T1427">
        <v>4878</v>
      </c>
      <c r="U1427">
        <v>21653</v>
      </c>
      <c r="V1427">
        <v>0</v>
      </c>
      <c r="W1427" t="s">
        <v>35</v>
      </c>
      <c r="X1427" t="s">
        <v>35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</row>
    <row r="1428" spans="1:36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f>FLOOR(Table1_2[[#This Row],[MonthlyIncome]],1000)</f>
        <v>2000</v>
      </c>
      <c r="T1428">
        <v>2837</v>
      </c>
      <c r="U1428">
        <v>15919</v>
      </c>
      <c r="V1428">
        <v>1</v>
      </c>
      <c r="W1428" t="s">
        <v>35</v>
      </c>
      <c r="X1428" t="s">
        <v>43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</row>
    <row r="1429" spans="1:36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f>FLOOR(Table1_2[[#This Row],[MonthlyIncome]],1000)</f>
        <v>2000</v>
      </c>
      <c r="T1429">
        <v>2406</v>
      </c>
      <c r="U1429">
        <v>4060</v>
      </c>
      <c r="V1429">
        <v>8</v>
      </c>
      <c r="W1429" t="s">
        <v>35</v>
      </c>
      <c r="X1429" t="s">
        <v>43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</row>
    <row r="1430" spans="1:36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f>FLOOR(Table1_2[[#This Row],[MonthlyIncome]],1000)</f>
        <v>2000</v>
      </c>
      <c r="T1430">
        <v>2269</v>
      </c>
      <c r="U1430">
        <v>18024</v>
      </c>
      <c r="V1430">
        <v>0</v>
      </c>
      <c r="W1430" t="s">
        <v>35</v>
      </c>
      <c r="X1430" t="s">
        <v>43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</row>
    <row r="1431" spans="1:36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f>FLOOR(Table1_2[[#This Row],[MonthlyIncome]],1000)</f>
        <v>4000</v>
      </c>
      <c r="T1431">
        <v>4108</v>
      </c>
      <c r="U1431">
        <v>5340</v>
      </c>
      <c r="V1431">
        <v>7</v>
      </c>
      <c r="W1431" t="s">
        <v>35</v>
      </c>
      <c r="X1431" t="s">
        <v>43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</row>
    <row r="1432" spans="1:36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f>FLOOR(Table1_2[[#This Row],[MonthlyIncome]],1000)</f>
        <v>13000</v>
      </c>
      <c r="T1432">
        <v>13206</v>
      </c>
      <c r="U1432">
        <v>3376</v>
      </c>
      <c r="V1432">
        <v>3</v>
      </c>
      <c r="W1432" t="s">
        <v>35</v>
      </c>
      <c r="X1432" t="s">
        <v>43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</row>
    <row r="1433" spans="1:36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f>FLOOR(Table1_2[[#This Row],[MonthlyIncome]],1000)</f>
        <v>10000</v>
      </c>
      <c r="T1433">
        <v>10422</v>
      </c>
      <c r="U1433">
        <v>24032</v>
      </c>
      <c r="V1433">
        <v>1</v>
      </c>
      <c r="W1433" t="s">
        <v>35</v>
      </c>
      <c r="X1433" t="s">
        <v>43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</row>
    <row r="1434" spans="1:36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f>FLOOR(Table1_2[[#This Row],[MonthlyIncome]],1000)</f>
        <v>13000</v>
      </c>
      <c r="T1434">
        <v>13744</v>
      </c>
      <c r="U1434">
        <v>15471</v>
      </c>
      <c r="V1434">
        <v>1</v>
      </c>
      <c r="W1434" t="s">
        <v>35</v>
      </c>
      <c r="X1434" t="s">
        <v>35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</row>
    <row r="1435" spans="1:36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f>FLOOR(Table1_2[[#This Row],[MonthlyIncome]],1000)</f>
        <v>4000</v>
      </c>
      <c r="T1435">
        <v>4907</v>
      </c>
      <c r="U1435">
        <v>13684</v>
      </c>
      <c r="V1435">
        <v>0</v>
      </c>
      <c r="W1435" t="s">
        <v>35</v>
      </c>
      <c r="X1435" t="s">
        <v>35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</row>
    <row r="1436" spans="1:36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f>FLOOR(Table1_2[[#This Row],[MonthlyIncome]],1000)</f>
        <v>3000</v>
      </c>
      <c r="T1436">
        <v>3482</v>
      </c>
      <c r="U1436">
        <v>19788</v>
      </c>
      <c r="V1436">
        <v>2</v>
      </c>
      <c r="W1436" t="s">
        <v>35</v>
      </c>
      <c r="X1436" t="s">
        <v>43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</row>
    <row r="1437" spans="1:36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f>FLOOR(Table1_2[[#This Row],[MonthlyIncome]],1000)</f>
        <v>2000</v>
      </c>
      <c r="T1437">
        <v>2436</v>
      </c>
      <c r="U1437">
        <v>13422</v>
      </c>
      <c r="V1437">
        <v>6</v>
      </c>
      <c r="W1437" t="s">
        <v>35</v>
      </c>
      <c r="X1437" t="s">
        <v>35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</row>
    <row r="1438" spans="1:36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f>FLOOR(Table1_2[[#This Row],[MonthlyIncome]],1000)</f>
        <v>2000</v>
      </c>
      <c r="T1438">
        <v>2380</v>
      </c>
      <c r="U1438">
        <v>25479</v>
      </c>
      <c r="V1438">
        <v>1</v>
      </c>
      <c r="W1438" t="s">
        <v>35</v>
      </c>
      <c r="X1438" t="s">
        <v>35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</row>
    <row r="1439" spans="1:36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f>FLOOR(Table1_2[[#This Row],[MonthlyIncome]],1000)</f>
        <v>19000</v>
      </c>
      <c r="T1439">
        <v>19431</v>
      </c>
      <c r="U1439">
        <v>15302</v>
      </c>
      <c r="V1439">
        <v>2</v>
      </c>
      <c r="W1439" t="s">
        <v>35</v>
      </c>
      <c r="X1439" t="s">
        <v>43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</row>
    <row r="1440" spans="1:36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f>FLOOR(Table1_2[[#This Row],[MonthlyIncome]],1000)</f>
        <v>1000</v>
      </c>
      <c r="T1440">
        <v>1790</v>
      </c>
      <c r="U1440">
        <v>26956</v>
      </c>
      <c r="V1440">
        <v>1</v>
      </c>
      <c r="W1440" t="s">
        <v>35</v>
      </c>
      <c r="X1440" t="s">
        <v>43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</row>
    <row r="1441" spans="1:36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f>FLOOR(Table1_2[[#This Row],[MonthlyIncome]],1000)</f>
        <v>7000</v>
      </c>
      <c r="T1441">
        <v>7644</v>
      </c>
      <c r="U1441">
        <v>12695</v>
      </c>
      <c r="V1441">
        <v>0</v>
      </c>
      <c r="W1441" t="s">
        <v>35</v>
      </c>
      <c r="X1441" t="s">
        <v>43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</row>
    <row r="1442" spans="1:36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f>FLOOR(Table1_2[[#This Row],[MonthlyIncome]],1000)</f>
        <v>5000</v>
      </c>
      <c r="T1442">
        <v>5131</v>
      </c>
      <c r="U1442">
        <v>9192</v>
      </c>
      <c r="V1442">
        <v>7</v>
      </c>
      <c r="W1442" t="s">
        <v>35</v>
      </c>
      <c r="X1442" t="s">
        <v>43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</row>
    <row r="1443" spans="1:36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f>FLOOR(Table1_2[[#This Row],[MonthlyIncome]],1000)</f>
        <v>6000</v>
      </c>
      <c r="T1443">
        <v>6306</v>
      </c>
      <c r="U1443">
        <v>26236</v>
      </c>
      <c r="V1443">
        <v>1</v>
      </c>
      <c r="W1443" t="s">
        <v>35</v>
      </c>
      <c r="X1443" t="s">
        <v>43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</row>
    <row r="1444" spans="1:36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f>FLOOR(Table1_2[[#This Row],[MonthlyIncome]],1000)</f>
        <v>4000</v>
      </c>
      <c r="T1444">
        <v>4787</v>
      </c>
      <c r="U1444">
        <v>26124</v>
      </c>
      <c r="V1444">
        <v>9</v>
      </c>
      <c r="W1444" t="s">
        <v>35</v>
      </c>
      <c r="X1444" t="s">
        <v>35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</row>
    <row r="1445" spans="1:36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f>FLOOR(Table1_2[[#This Row],[MonthlyIncome]],1000)</f>
        <v>18000</v>
      </c>
      <c r="T1445">
        <v>18880</v>
      </c>
      <c r="U1445">
        <v>17312</v>
      </c>
      <c r="V1445">
        <v>5</v>
      </c>
      <c r="W1445" t="s">
        <v>35</v>
      </c>
      <c r="X1445" t="s">
        <v>43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</row>
    <row r="1446" spans="1:36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f>FLOOR(Table1_2[[#This Row],[MonthlyIncome]],1000)</f>
        <v>2000</v>
      </c>
      <c r="T1446">
        <v>2339</v>
      </c>
      <c r="U1446">
        <v>3666</v>
      </c>
      <c r="V1446">
        <v>8</v>
      </c>
      <c r="W1446" t="s">
        <v>35</v>
      </c>
      <c r="X1446" t="s">
        <v>43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</row>
    <row r="1447" spans="1:36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f>FLOOR(Table1_2[[#This Row],[MonthlyIncome]],1000)</f>
        <v>13000</v>
      </c>
      <c r="T1447">
        <v>13570</v>
      </c>
      <c r="U1447">
        <v>5640</v>
      </c>
      <c r="V1447">
        <v>0</v>
      </c>
      <c r="W1447" t="s">
        <v>35</v>
      </c>
      <c r="X1447" t="s">
        <v>43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</row>
    <row r="1448" spans="1:36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f>FLOOR(Table1_2[[#This Row],[MonthlyIncome]],1000)</f>
        <v>6000</v>
      </c>
      <c r="T1448">
        <v>6712</v>
      </c>
      <c r="U1448">
        <v>8978</v>
      </c>
      <c r="V1448">
        <v>1</v>
      </c>
      <c r="W1448" t="s">
        <v>35</v>
      </c>
      <c r="X1448" t="s">
        <v>43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</row>
    <row r="1449" spans="1:36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f>FLOOR(Table1_2[[#This Row],[MonthlyIncome]],1000)</f>
        <v>5000</v>
      </c>
      <c r="T1449">
        <v>5406</v>
      </c>
      <c r="U1449">
        <v>10436</v>
      </c>
      <c r="V1449">
        <v>1</v>
      </c>
      <c r="W1449" t="s">
        <v>35</v>
      </c>
      <c r="X1449" t="s">
        <v>43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</row>
    <row r="1450" spans="1:36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f>FLOOR(Table1_2[[#This Row],[MonthlyIncome]],1000)</f>
        <v>8000</v>
      </c>
      <c r="T1450">
        <v>8938</v>
      </c>
      <c r="U1450">
        <v>12227</v>
      </c>
      <c r="V1450">
        <v>2</v>
      </c>
      <c r="W1450" t="s">
        <v>35</v>
      </c>
      <c r="X1450" t="s">
        <v>43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</row>
    <row r="1451" spans="1:36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f>FLOOR(Table1_2[[#This Row],[MonthlyIncome]],1000)</f>
        <v>2000</v>
      </c>
      <c r="T1451">
        <v>2439</v>
      </c>
      <c r="U1451">
        <v>11288</v>
      </c>
      <c r="V1451">
        <v>1</v>
      </c>
      <c r="W1451" t="s">
        <v>35</v>
      </c>
      <c r="X1451" t="s">
        <v>43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</row>
    <row r="1452" spans="1:36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f>FLOOR(Table1_2[[#This Row],[MonthlyIncome]],1000)</f>
        <v>8000</v>
      </c>
      <c r="T1452">
        <v>8837</v>
      </c>
      <c r="U1452">
        <v>16642</v>
      </c>
      <c r="V1452">
        <v>1</v>
      </c>
      <c r="W1452" t="s">
        <v>35</v>
      </c>
      <c r="X1452" t="s">
        <v>35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</row>
    <row r="1453" spans="1:36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f>FLOOR(Table1_2[[#This Row],[MonthlyIncome]],1000)</f>
        <v>5000</v>
      </c>
      <c r="T1453">
        <v>5343</v>
      </c>
      <c r="U1453">
        <v>5982</v>
      </c>
      <c r="V1453">
        <v>1</v>
      </c>
      <c r="W1453" t="s">
        <v>35</v>
      </c>
      <c r="X1453" t="s">
        <v>43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</row>
    <row r="1454" spans="1:36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f>FLOOR(Table1_2[[#This Row],[MonthlyIncome]],1000)</f>
        <v>6000</v>
      </c>
      <c r="T1454">
        <v>6728</v>
      </c>
      <c r="U1454">
        <v>14255</v>
      </c>
      <c r="V1454">
        <v>7</v>
      </c>
      <c r="W1454" t="s">
        <v>35</v>
      </c>
      <c r="X1454" t="s">
        <v>43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</row>
    <row r="1455" spans="1:36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f>FLOOR(Table1_2[[#This Row],[MonthlyIncome]],1000)</f>
        <v>6000</v>
      </c>
      <c r="T1455">
        <v>6652</v>
      </c>
      <c r="U1455">
        <v>14369</v>
      </c>
      <c r="V1455">
        <v>4</v>
      </c>
      <c r="W1455" t="s">
        <v>35</v>
      </c>
      <c r="X1455" t="s">
        <v>43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</row>
    <row r="1456" spans="1:36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f>FLOOR(Table1_2[[#This Row],[MonthlyIncome]],1000)</f>
        <v>4000</v>
      </c>
      <c r="T1456">
        <v>4850</v>
      </c>
      <c r="U1456">
        <v>23333</v>
      </c>
      <c r="V1456">
        <v>8</v>
      </c>
      <c r="W1456" t="s">
        <v>35</v>
      </c>
      <c r="X1456" t="s">
        <v>43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</row>
    <row r="1457" spans="1:36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f>FLOOR(Table1_2[[#This Row],[MonthlyIncome]],1000)</f>
        <v>2000</v>
      </c>
      <c r="T1457">
        <v>2809</v>
      </c>
      <c r="U1457">
        <v>2725</v>
      </c>
      <c r="V1457">
        <v>2</v>
      </c>
      <c r="W1457" t="s">
        <v>35</v>
      </c>
      <c r="X1457" t="s">
        <v>43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</row>
    <row r="1458" spans="1:36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f>FLOOR(Table1_2[[#This Row],[MonthlyIncome]],1000)</f>
        <v>5000</v>
      </c>
      <c r="T1458">
        <v>5689</v>
      </c>
      <c r="U1458">
        <v>24594</v>
      </c>
      <c r="V1458">
        <v>1</v>
      </c>
      <c r="W1458" t="s">
        <v>35</v>
      </c>
      <c r="X1458" t="s">
        <v>35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</row>
    <row r="1459" spans="1:36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f>FLOOR(Table1_2[[#This Row],[MonthlyIncome]],1000)</f>
        <v>2000</v>
      </c>
      <c r="T1459">
        <v>2001</v>
      </c>
      <c r="U1459">
        <v>12549</v>
      </c>
      <c r="V1459">
        <v>2</v>
      </c>
      <c r="W1459" t="s">
        <v>35</v>
      </c>
      <c r="X1459" t="s">
        <v>43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</row>
    <row r="1460" spans="1:36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f>FLOOR(Table1_2[[#This Row],[MonthlyIncome]],1000)</f>
        <v>2000</v>
      </c>
      <c r="T1460">
        <v>2977</v>
      </c>
      <c r="U1460">
        <v>8952</v>
      </c>
      <c r="V1460">
        <v>1</v>
      </c>
      <c r="W1460" t="s">
        <v>35</v>
      </c>
      <c r="X1460" t="s">
        <v>43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</row>
    <row r="1461" spans="1:36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f>FLOOR(Table1_2[[#This Row],[MonthlyIncome]],1000)</f>
        <v>4000</v>
      </c>
      <c r="T1461">
        <v>4025</v>
      </c>
      <c r="U1461">
        <v>23679</v>
      </c>
      <c r="V1461">
        <v>4</v>
      </c>
      <c r="W1461" t="s">
        <v>35</v>
      </c>
      <c r="X1461" t="s">
        <v>35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</row>
    <row r="1462" spans="1:36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f>FLOOR(Table1_2[[#This Row],[MonthlyIncome]],1000)</f>
        <v>3000</v>
      </c>
      <c r="T1462">
        <v>3785</v>
      </c>
      <c r="U1462">
        <v>8489</v>
      </c>
      <c r="V1462">
        <v>1</v>
      </c>
      <c r="W1462" t="s">
        <v>35</v>
      </c>
      <c r="X1462" t="s">
        <v>43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</row>
    <row r="1463" spans="1:36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f>FLOOR(Table1_2[[#This Row],[MonthlyIncome]],1000)</f>
        <v>10000</v>
      </c>
      <c r="T1463">
        <v>10854</v>
      </c>
      <c r="U1463">
        <v>16586</v>
      </c>
      <c r="V1463">
        <v>4</v>
      </c>
      <c r="W1463" t="s">
        <v>35</v>
      </c>
      <c r="X1463" t="s">
        <v>35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</row>
    <row r="1464" spans="1:36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f>FLOOR(Table1_2[[#This Row],[MonthlyIncome]],1000)</f>
        <v>12000</v>
      </c>
      <c r="T1464">
        <v>12031</v>
      </c>
      <c r="U1464">
        <v>8828</v>
      </c>
      <c r="V1464">
        <v>0</v>
      </c>
      <c r="W1464" t="s">
        <v>35</v>
      </c>
      <c r="X1464" t="s">
        <v>43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</row>
    <row r="1465" spans="1:36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f>FLOOR(Table1_2[[#This Row],[MonthlyIncome]],1000)</f>
        <v>9000</v>
      </c>
      <c r="T1465">
        <v>9936</v>
      </c>
      <c r="U1465">
        <v>3787</v>
      </c>
      <c r="V1465">
        <v>0</v>
      </c>
      <c r="W1465" t="s">
        <v>35</v>
      </c>
      <c r="X1465" t="s">
        <v>43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</row>
    <row r="1466" spans="1:36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f>FLOOR(Table1_2[[#This Row],[MonthlyIncome]],1000)</f>
        <v>2000</v>
      </c>
      <c r="T1466">
        <v>2966</v>
      </c>
      <c r="U1466">
        <v>21378</v>
      </c>
      <c r="V1466">
        <v>0</v>
      </c>
      <c r="W1466" t="s">
        <v>35</v>
      </c>
      <c r="X1466" t="s">
        <v>43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</row>
    <row r="1467" spans="1:36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f>FLOOR(Table1_2[[#This Row],[MonthlyIncome]],1000)</f>
        <v>2000</v>
      </c>
      <c r="T1467">
        <v>2571</v>
      </c>
      <c r="U1467">
        <v>12290</v>
      </c>
      <c r="V1467">
        <v>4</v>
      </c>
      <c r="W1467" t="s">
        <v>35</v>
      </c>
      <c r="X1467" t="s">
        <v>43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</row>
    <row r="1468" spans="1:36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f>FLOOR(Table1_2[[#This Row],[MonthlyIncome]],1000)</f>
        <v>9000</v>
      </c>
      <c r="T1468">
        <v>9991</v>
      </c>
      <c r="U1468">
        <v>21457</v>
      </c>
      <c r="V1468">
        <v>4</v>
      </c>
      <c r="W1468" t="s">
        <v>35</v>
      </c>
      <c r="X1468" t="s">
        <v>43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</row>
    <row r="1469" spans="1:36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f>FLOOR(Table1_2[[#This Row],[MonthlyIncome]],1000)</f>
        <v>6000</v>
      </c>
      <c r="T1469">
        <v>6142</v>
      </c>
      <c r="U1469">
        <v>5174</v>
      </c>
      <c r="V1469">
        <v>1</v>
      </c>
      <c r="W1469" t="s">
        <v>35</v>
      </c>
      <c r="X1469" t="s">
        <v>35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</row>
    <row r="1470" spans="1:36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f>FLOOR(Table1_2[[#This Row],[MonthlyIncome]],1000)</f>
        <v>5000</v>
      </c>
      <c r="T1470">
        <v>5390</v>
      </c>
      <c r="U1470">
        <v>13243</v>
      </c>
      <c r="V1470">
        <v>2</v>
      </c>
      <c r="W1470" t="s">
        <v>35</v>
      </c>
      <c r="X1470" t="s">
        <v>43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</row>
    <row r="1471" spans="1:36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f>FLOOR(Table1_2[[#This Row],[MonthlyIncome]],1000)</f>
        <v>4000</v>
      </c>
      <c r="T1471">
        <v>4404</v>
      </c>
      <c r="U1471">
        <v>10228</v>
      </c>
      <c r="V1471">
        <v>2</v>
      </c>
      <c r="W1471" t="s">
        <v>35</v>
      </c>
      <c r="X1471" t="s">
        <v>43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FF53-5742-42CD-A73A-54AF8188EBC1}">
  <dimension ref="A1:AA22"/>
  <sheetViews>
    <sheetView topLeftCell="D1" workbookViewId="0">
      <selection activeCell="G4" sqref="G4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5.5703125" bestFit="1" customWidth="1"/>
    <col min="4" max="4" width="11.28515625" bestFit="1" customWidth="1"/>
    <col min="6" max="6" width="13.140625" bestFit="1" customWidth="1"/>
    <col min="7" max="7" width="25.7109375" bestFit="1" customWidth="1"/>
    <col min="8" max="8" width="5.5703125" bestFit="1" customWidth="1"/>
    <col min="9" max="9" width="13.140625" bestFit="1" customWidth="1"/>
    <col min="10" max="10" width="25.7109375" bestFit="1" customWidth="1"/>
    <col min="12" max="12" width="13.140625" bestFit="1" customWidth="1"/>
    <col min="13" max="13" width="25.7109375" bestFit="1" customWidth="1"/>
    <col min="14" max="14" width="12.140625" customWidth="1"/>
    <col min="15" max="15" width="23.85546875" bestFit="1" customWidth="1"/>
    <col min="16" max="16" width="16.28515625" bestFit="1" customWidth="1"/>
    <col min="17" max="17" width="6.5703125" bestFit="1" customWidth="1"/>
    <col min="18" max="18" width="11.28515625" bestFit="1" customWidth="1"/>
    <col min="19" max="19" width="5.28515625" customWidth="1"/>
    <col min="20" max="20" width="23.85546875" bestFit="1" customWidth="1"/>
    <col min="21" max="21" width="16.28515625" bestFit="1" customWidth="1"/>
    <col min="22" max="22" width="6.5703125" bestFit="1" customWidth="1"/>
    <col min="23" max="23" width="11.28515625" bestFit="1" customWidth="1"/>
    <col min="24" max="24" width="8" customWidth="1"/>
    <col min="25" max="25" width="32.28515625" bestFit="1" customWidth="1"/>
    <col min="26" max="26" width="13.7109375" customWidth="1"/>
    <col min="27" max="30" width="3" bestFit="1" customWidth="1"/>
    <col min="31" max="31" width="11.28515625" bestFit="1" customWidth="1"/>
    <col min="32" max="32" width="7.42578125" bestFit="1" customWidth="1"/>
    <col min="33" max="41" width="2" bestFit="1" customWidth="1"/>
    <col min="42" max="47" width="3" bestFit="1" customWidth="1"/>
    <col min="48" max="48" width="10.42578125" bestFit="1" customWidth="1"/>
    <col min="49" max="49" width="11.28515625" bestFit="1" customWidth="1"/>
  </cols>
  <sheetData>
    <row r="1" spans="1:27" x14ac:dyDescent="0.25">
      <c r="A1" s="10" t="s">
        <v>66</v>
      </c>
      <c r="B1" s="10"/>
      <c r="C1" s="10"/>
      <c r="D1" s="10"/>
      <c r="F1" s="11" t="s">
        <v>68</v>
      </c>
      <c r="G1" s="11"/>
      <c r="I1" s="12" t="s">
        <v>71</v>
      </c>
      <c r="J1" s="12"/>
      <c r="L1" s="13" t="s">
        <v>72</v>
      </c>
      <c r="M1" s="13"/>
      <c r="O1" s="1" t="s">
        <v>33</v>
      </c>
      <c r="P1" t="s">
        <v>73</v>
      </c>
    </row>
    <row r="2" spans="1:27" x14ac:dyDescent="0.25">
      <c r="A2" s="1" t="s">
        <v>65</v>
      </c>
      <c r="B2" s="1" t="s">
        <v>64</v>
      </c>
      <c r="F2" s="1" t="s">
        <v>62</v>
      </c>
      <c r="G2" t="s">
        <v>67</v>
      </c>
      <c r="I2" s="1" t="s">
        <v>62</v>
      </c>
      <c r="J2" t="s">
        <v>70</v>
      </c>
      <c r="L2" s="1" t="s">
        <v>62</v>
      </c>
      <c r="M2" t="s">
        <v>67</v>
      </c>
      <c r="O2" s="14" t="s">
        <v>74</v>
      </c>
      <c r="P2" s="14"/>
      <c r="Q2" s="14"/>
      <c r="R2" s="14"/>
      <c r="T2" s="5"/>
      <c r="U2" s="5"/>
      <c r="V2" s="5"/>
      <c r="W2" s="5"/>
      <c r="Y2" s="9" t="s">
        <v>76</v>
      </c>
      <c r="Z2" s="9"/>
      <c r="AA2" s="8"/>
    </row>
    <row r="3" spans="1:27" x14ac:dyDescent="0.25">
      <c r="A3" s="1" t="s">
        <v>62</v>
      </c>
      <c r="B3" t="s">
        <v>39</v>
      </c>
      <c r="C3" t="s">
        <v>46</v>
      </c>
      <c r="D3" t="s">
        <v>63</v>
      </c>
      <c r="F3" s="2" t="s">
        <v>39</v>
      </c>
      <c r="G3" s="4">
        <v>6686.5663265306121</v>
      </c>
      <c r="I3" s="2">
        <v>1000</v>
      </c>
      <c r="J3" s="3">
        <v>33</v>
      </c>
      <c r="L3" s="2">
        <v>3</v>
      </c>
      <c r="M3" s="4">
        <v>6537.2741157556275</v>
      </c>
      <c r="O3" s="1" t="s">
        <v>65</v>
      </c>
      <c r="P3" s="1" t="s">
        <v>64</v>
      </c>
      <c r="T3" s="6"/>
      <c r="U3" s="6" t="s">
        <v>75</v>
      </c>
      <c r="V3" s="6"/>
      <c r="W3" s="6"/>
      <c r="Y3" t="s">
        <v>77</v>
      </c>
      <c r="Z3" s="4">
        <f>COUNTIF('Clean data '!B:B,"Yes")/SUM('Clean data '!I:I)*100</f>
        <v>16.122448979591837</v>
      </c>
    </row>
    <row r="4" spans="1:27" x14ac:dyDescent="0.25">
      <c r="A4" s="2" t="s">
        <v>61</v>
      </c>
      <c r="B4" s="3">
        <v>20</v>
      </c>
      <c r="C4" s="3">
        <v>43</v>
      </c>
      <c r="D4" s="3">
        <v>63</v>
      </c>
      <c r="F4" s="2" t="s">
        <v>46</v>
      </c>
      <c r="G4" s="4">
        <v>6380.5079365079364</v>
      </c>
      <c r="I4" s="2">
        <v>2000</v>
      </c>
      <c r="J4" s="3">
        <v>362</v>
      </c>
      <c r="L4" s="2">
        <v>4</v>
      </c>
      <c r="M4" s="4">
        <v>6313.8938053097345</v>
      </c>
      <c r="O4" s="1" t="s">
        <v>62</v>
      </c>
      <c r="P4" t="s">
        <v>39</v>
      </c>
      <c r="Q4" t="s">
        <v>46</v>
      </c>
      <c r="R4" t="s">
        <v>63</v>
      </c>
      <c r="T4" s="1" t="s">
        <v>65</v>
      </c>
      <c r="U4" s="1" t="s">
        <v>64</v>
      </c>
      <c r="Y4" t="s">
        <v>78</v>
      </c>
      <c r="Z4">
        <f>COUNTIF('Clean data '!B:B,"Yes")</f>
        <v>237</v>
      </c>
    </row>
    <row r="5" spans="1:27" x14ac:dyDescent="0.25">
      <c r="A5" s="2" t="s">
        <v>45</v>
      </c>
      <c r="B5" s="3">
        <v>379</v>
      </c>
      <c r="C5" s="3">
        <v>582</v>
      </c>
      <c r="D5" s="3">
        <v>961</v>
      </c>
      <c r="F5" s="2" t="s">
        <v>63</v>
      </c>
      <c r="G5" s="4">
        <v>6502.931292517007</v>
      </c>
      <c r="I5" s="2">
        <v>3000</v>
      </c>
      <c r="J5" s="3">
        <v>147</v>
      </c>
      <c r="L5" s="2" t="s">
        <v>63</v>
      </c>
      <c r="M5" s="4">
        <v>6502.931292517007</v>
      </c>
      <c r="O5" s="2" t="s">
        <v>61</v>
      </c>
      <c r="P5" s="3">
        <v>20</v>
      </c>
      <c r="Q5" s="3">
        <v>43</v>
      </c>
      <c r="R5" s="3">
        <v>63</v>
      </c>
      <c r="T5" s="1" t="s">
        <v>62</v>
      </c>
      <c r="U5" t="s">
        <v>43</v>
      </c>
      <c r="V5" t="s">
        <v>35</v>
      </c>
      <c r="W5" t="s">
        <v>63</v>
      </c>
      <c r="Y5" t="s">
        <v>79</v>
      </c>
      <c r="Z5" s="4">
        <f>GETPIVOTDATA("MonthlyIncome",$F$2,"Gender","Female") - GETPIVOTDATA("MonthlyIncome",$F$2,"Gender","Male")</f>
        <v>306.05839002267567</v>
      </c>
    </row>
    <row r="6" spans="1:27" x14ac:dyDescent="0.25">
      <c r="A6" s="2" t="s">
        <v>37</v>
      </c>
      <c r="B6" s="3">
        <v>189</v>
      </c>
      <c r="C6" s="3">
        <v>257</v>
      </c>
      <c r="D6" s="3">
        <v>446</v>
      </c>
      <c r="I6" s="2">
        <v>4000</v>
      </c>
      <c r="J6" s="3">
        <v>207</v>
      </c>
      <c r="O6" s="2" t="s">
        <v>45</v>
      </c>
      <c r="P6" s="3">
        <v>379</v>
      </c>
      <c r="Q6" s="3">
        <v>582</v>
      </c>
      <c r="R6" s="3">
        <v>961</v>
      </c>
      <c r="T6" s="2" t="s">
        <v>61</v>
      </c>
      <c r="U6" s="3">
        <v>51</v>
      </c>
      <c r="V6" s="3">
        <v>12</v>
      </c>
      <c r="W6" s="3">
        <v>63</v>
      </c>
      <c r="Y6" t="s">
        <v>80</v>
      </c>
      <c r="Z6" s="4">
        <f>COUNTIF('Clean data '!T:T, "&lt;9000")/COUNT('Clean data '!I:I)*100</f>
        <v>77.346938775510196</v>
      </c>
    </row>
    <row r="7" spans="1:27" x14ac:dyDescent="0.25">
      <c r="A7" s="2" t="s">
        <v>63</v>
      </c>
      <c r="B7" s="3">
        <v>588</v>
      </c>
      <c r="C7" s="3">
        <v>882</v>
      </c>
      <c r="D7" s="3">
        <v>1470</v>
      </c>
      <c r="I7" s="2">
        <v>5000</v>
      </c>
      <c r="J7" s="3">
        <v>165</v>
      </c>
      <c r="O7" s="2" t="s">
        <v>37</v>
      </c>
      <c r="P7" s="3">
        <v>189</v>
      </c>
      <c r="Q7" s="3">
        <v>257</v>
      </c>
      <c r="R7" s="3">
        <v>446</v>
      </c>
      <c r="T7" s="2" t="s">
        <v>45</v>
      </c>
      <c r="U7" s="3">
        <v>828</v>
      </c>
      <c r="V7" s="3">
        <v>133</v>
      </c>
      <c r="W7" s="3">
        <v>961</v>
      </c>
      <c r="Y7" t="s">
        <v>81</v>
      </c>
      <c r="Z7" s="4">
        <f>AVERAGE('Clean data '!T:T)</f>
        <v>6502.931292517007</v>
      </c>
    </row>
    <row r="8" spans="1:27" x14ac:dyDescent="0.25">
      <c r="I8" s="2">
        <v>6000</v>
      </c>
      <c r="J8" s="3">
        <v>121</v>
      </c>
      <c r="O8" s="2" t="s">
        <v>63</v>
      </c>
      <c r="P8" s="4">
        <v>588</v>
      </c>
      <c r="Q8" s="4">
        <v>882</v>
      </c>
      <c r="R8" s="4">
        <v>1470</v>
      </c>
      <c r="T8" s="2" t="s">
        <v>37</v>
      </c>
      <c r="U8" s="3">
        <v>354</v>
      </c>
      <c r="V8" s="3">
        <v>92</v>
      </c>
      <c r="W8" s="3">
        <v>446</v>
      </c>
      <c r="Y8" t="s">
        <v>82</v>
      </c>
      <c r="Z8" s="4">
        <f>AVERAGE('Clean data '!Q:Q)</f>
        <v>2.7285714285714286</v>
      </c>
    </row>
    <row r="9" spans="1:27" x14ac:dyDescent="0.25">
      <c r="I9" s="2">
        <v>7000</v>
      </c>
      <c r="J9" s="3">
        <v>54</v>
      </c>
      <c r="T9" s="2" t="s">
        <v>63</v>
      </c>
      <c r="U9" s="4">
        <v>1233</v>
      </c>
      <c r="V9" s="4">
        <v>237</v>
      </c>
      <c r="W9" s="4">
        <v>1470</v>
      </c>
    </row>
    <row r="10" spans="1:27" x14ac:dyDescent="0.25">
      <c r="I10" s="2">
        <v>8000</v>
      </c>
      <c r="J10" s="3">
        <v>48</v>
      </c>
    </row>
    <row r="11" spans="1:27" x14ac:dyDescent="0.25">
      <c r="I11" s="2">
        <v>9000</v>
      </c>
      <c r="J11" s="3">
        <v>52</v>
      </c>
    </row>
    <row r="12" spans="1:27" x14ac:dyDescent="0.25">
      <c r="I12" s="2">
        <v>10000</v>
      </c>
      <c r="J12" s="3">
        <v>66</v>
      </c>
    </row>
    <row r="13" spans="1:27" x14ac:dyDescent="0.25">
      <c r="I13" s="2">
        <v>11000</v>
      </c>
      <c r="J13" s="3">
        <v>20</v>
      </c>
    </row>
    <row r="14" spans="1:27" x14ac:dyDescent="0.25">
      <c r="I14" s="2">
        <v>12000</v>
      </c>
      <c r="J14" s="3">
        <v>10</v>
      </c>
    </row>
    <row r="15" spans="1:27" x14ac:dyDescent="0.25">
      <c r="I15" s="2">
        <v>13000</v>
      </c>
      <c r="J15" s="3">
        <v>43</v>
      </c>
    </row>
    <row r="16" spans="1:27" x14ac:dyDescent="0.25">
      <c r="I16" s="2">
        <v>14000</v>
      </c>
      <c r="J16" s="3">
        <v>9</v>
      </c>
    </row>
    <row r="17" spans="9:10" x14ac:dyDescent="0.25">
      <c r="I17" s="2">
        <v>15000</v>
      </c>
      <c r="J17" s="3">
        <v>7</v>
      </c>
    </row>
    <row r="18" spans="9:10" x14ac:dyDescent="0.25">
      <c r="I18" s="2">
        <v>16000</v>
      </c>
      <c r="J18" s="3">
        <v>29</v>
      </c>
    </row>
    <row r="19" spans="9:10" x14ac:dyDescent="0.25">
      <c r="I19" s="2">
        <v>17000</v>
      </c>
      <c r="J19" s="3">
        <v>28</v>
      </c>
    </row>
    <row r="20" spans="9:10" x14ac:dyDescent="0.25">
      <c r="I20" s="2">
        <v>18000</v>
      </c>
      <c r="J20" s="3">
        <v>19</v>
      </c>
    </row>
    <row r="21" spans="9:10" x14ac:dyDescent="0.25">
      <c r="I21" s="2">
        <v>19000</v>
      </c>
      <c r="J21" s="3">
        <v>50</v>
      </c>
    </row>
    <row r="22" spans="9:10" x14ac:dyDescent="0.25">
      <c r="I22" s="2" t="s">
        <v>63</v>
      </c>
      <c r="J22" s="4">
        <v>1470</v>
      </c>
    </row>
  </sheetData>
  <mergeCells count="6">
    <mergeCell ref="Y2:Z2"/>
    <mergeCell ref="A1:D1"/>
    <mergeCell ref="F1:G1"/>
    <mergeCell ref="I1:J1"/>
    <mergeCell ref="L1:M1"/>
    <mergeCell ref="O2:R2"/>
  </mergeCell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D132-647F-401B-BCE7-EB4A4FA4BE80}">
  <dimension ref="A1"/>
  <sheetViews>
    <sheetView tabSelected="1" topLeftCell="I1" zoomScale="40" zoomScaleNormal="40" workbookViewId="0">
      <selection activeCell="BB27" sqref="BB27"/>
    </sheetView>
  </sheetViews>
  <sheetFormatPr defaultRowHeight="15" x14ac:dyDescent="0.25"/>
  <cols>
    <col min="1" max="16384" width="9.140625" style="7"/>
  </cols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0BC638-3FEB-48E4-89B4-E52194A800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WA_Fn-UseC_-HR-Employee-Attriti</vt:lpstr>
      <vt:lpstr>Clean data </vt:lpstr>
      <vt:lpstr>Sheet2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ENGR AUSTIN JUWETO</dc:creator>
  <cp:lastModifiedBy>user</cp:lastModifiedBy>
  <dcterms:created xsi:type="dcterms:W3CDTF">2025-07-25T14:06:05Z</dcterms:created>
  <dcterms:modified xsi:type="dcterms:W3CDTF">2025-07-31T23:28:06Z</dcterms:modified>
</cp:coreProperties>
</file>